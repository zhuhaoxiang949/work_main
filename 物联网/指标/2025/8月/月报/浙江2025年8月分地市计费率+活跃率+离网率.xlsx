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Jacky Bai\Desktop\"/>
    </mc:Choice>
  </mc:AlternateContent>
  <xr:revisionPtr revIDLastSave="0" documentId="13_ncr:1_{C6CCB02A-E39B-4188-8C1D-D2A66376A027}" xr6:coauthVersionLast="47" xr6:coauthVersionMax="47" xr10:uidLastSave="{00000000-0000-0000-0000-000000000000}"/>
  <bookViews>
    <workbookView xWindow="33480" yWindow="-120" windowWidth="29040" windowHeight="15840" activeTab="1" xr2:uid="{00000000-000D-0000-FFFF-FFFF00000000}"/>
  </bookViews>
  <sheets>
    <sheet name="2024年" sheetId="1" r:id="rId1"/>
    <sheet name="2025年" sheetId="2" r:id="rId2"/>
  </sheets>
  <calcPr calcId="191029"/>
</workbook>
</file>

<file path=xl/calcChain.xml><?xml version="1.0" encoding="utf-8"?>
<calcChain xmlns="http://schemas.openxmlformats.org/spreadsheetml/2006/main">
  <c r="N102" i="2" l="1"/>
  <c r="N103" i="2"/>
  <c r="N104" i="2"/>
  <c r="N105" i="2"/>
  <c r="N106" i="2"/>
  <c r="N107" i="2"/>
  <c r="N108" i="2"/>
  <c r="N109" i="2"/>
  <c r="N110" i="2"/>
  <c r="N111" i="2"/>
  <c r="N112" i="2"/>
  <c r="N101" i="2"/>
  <c r="N87" i="2"/>
  <c r="P106" i="2"/>
  <c r="P101" i="2"/>
  <c r="J101" i="2"/>
  <c r="I101" i="2"/>
  <c r="H102" i="2"/>
  <c r="H103" i="2"/>
  <c r="H104" i="2"/>
  <c r="H105" i="2"/>
  <c r="H106" i="2"/>
  <c r="H107" i="2"/>
  <c r="I107" i="2" s="1"/>
  <c r="H108" i="2"/>
  <c r="I108" i="2" s="1"/>
  <c r="H109" i="2"/>
  <c r="I109" i="2" s="1"/>
  <c r="H110" i="2"/>
  <c r="H111" i="2"/>
  <c r="H112" i="2"/>
  <c r="H101" i="2"/>
  <c r="F112" i="2"/>
  <c r="F102" i="2"/>
  <c r="F103" i="2"/>
  <c r="F104" i="2"/>
  <c r="F105" i="2"/>
  <c r="F106" i="2"/>
  <c r="F107" i="2"/>
  <c r="F108" i="2"/>
  <c r="F109" i="2"/>
  <c r="F110" i="2"/>
  <c r="F111" i="2"/>
  <c r="F101" i="2"/>
  <c r="O112" i="2"/>
  <c r="P112" i="2" s="1"/>
  <c r="M112" i="2"/>
  <c r="L112" i="2"/>
  <c r="G112" i="2"/>
  <c r="E112" i="2"/>
  <c r="D112" i="2"/>
  <c r="P111" i="2"/>
  <c r="J111" i="2"/>
  <c r="I111" i="2"/>
  <c r="P110" i="2"/>
  <c r="J110" i="2"/>
  <c r="I110" i="2"/>
  <c r="P109" i="2"/>
  <c r="J109" i="2"/>
  <c r="P108" i="2"/>
  <c r="J108" i="2"/>
  <c r="P107" i="2"/>
  <c r="J107" i="2"/>
  <c r="J106" i="2"/>
  <c r="I106" i="2"/>
  <c r="P105" i="2"/>
  <c r="J105" i="2"/>
  <c r="I105" i="2"/>
  <c r="P104" i="2"/>
  <c r="J104" i="2"/>
  <c r="I104" i="2"/>
  <c r="P103" i="2"/>
  <c r="J103" i="2"/>
  <c r="I103" i="2"/>
  <c r="P102" i="2"/>
  <c r="J102" i="2"/>
  <c r="I102" i="2"/>
  <c r="N88" i="2"/>
  <c r="N89" i="2"/>
  <c r="N90" i="2"/>
  <c r="N91" i="2"/>
  <c r="N92" i="2"/>
  <c r="N93" i="2"/>
  <c r="N94" i="2"/>
  <c r="N95" i="2"/>
  <c r="N96" i="2"/>
  <c r="N97" i="2"/>
  <c r="N73" i="2"/>
  <c r="P87" i="2"/>
  <c r="J87" i="2"/>
  <c r="I87" i="2"/>
  <c r="H87" i="2"/>
  <c r="F98" i="2"/>
  <c r="F88" i="2"/>
  <c r="F89" i="2"/>
  <c r="F90" i="2"/>
  <c r="F91" i="2"/>
  <c r="F92" i="2"/>
  <c r="F93" i="2"/>
  <c r="F94" i="2"/>
  <c r="F95" i="2"/>
  <c r="F96" i="2"/>
  <c r="F97" i="2"/>
  <c r="F87" i="2"/>
  <c r="O98" i="2"/>
  <c r="P98" i="2" s="1"/>
  <c r="M98" i="2"/>
  <c r="N98" i="2" s="1"/>
  <c r="L98" i="2"/>
  <c r="G98" i="2"/>
  <c r="E98" i="2"/>
  <c r="D98" i="2"/>
  <c r="P97" i="2"/>
  <c r="J97" i="2"/>
  <c r="H97" i="2"/>
  <c r="I97" i="2" s="1"/>
  <c r="P96" i="2"/>
  <c r="J96" i="2"/>
  <c r="H96" i="2"/>
  <c r="I96" i="2" s="1"/>
  <c r="P95" i="2"/>
  <c r="J95" i="2"/>
  <c r="H95" i="2"/>
  <c r="I95" i="2" s="1"/>
  <c r="P94" i="2"/>
  <c r="J94" i="2"/>
  <c r="H94" i="2"/>
  <c r="I94" i="2" s="1"/>
  <c r="P93" i="2"/>
  <c r="J93" i="2"/>
  <c r="H93" i="2"/>
  <c r="I93" i="2" s="1"/>
  <c r="P92" i="2"/>
  <c r="J92" i="2"/>
  <c r="H92" i="2"/>
  <c r="I92" i="2" s="1"/>
  <c r="P91" i="2"/>
  <c r="J91" i="2"/>
  <c r="H91" i="2"/>
  <c r="I91" i="2" s="1"/>
  <c r="P90" i="2"/>
  <c r="J90" i="2"/>
  <c r="H90" i="2"/>
  <c r="I90" i="2" s="1"/>
  <c r="P89" i="2"/>
  <c r="J89" i="2"/>
  <c r="H89" i="2"/>
  <c r="I89" i="2" s="1"/>
  <c r="P88" i="2"/>
  <c r="J88" i="2"/>
  <c r="H88" i="2"/>
  <c r="I88" i="2" s="1"/>
  <c r="N74" i="2"/>
  <c r="N75" i="2"/>
  <c r="N76" i="2"/>
  <c r="N77" i="2"/>
  <c r="N78" i="2"/>
  <c r="N79" i="2"/>
  <c r="N80" i="2"/>
  <c r="N81" i="2"/>
  <c r="N82" i="2"/>
  <c r="N83" i="2"/>
  <c r="P73" i="2"/>
  <c r="J84" i="2"/>
  <c r="J73" i="2"/>
  <c r="I73" i="2"/>
  <c r="H73" i="2"/>
  <c r="F74" i="2"/>
  <c r="F75" i="2"/>
  <c r="F76" i="2"/>
  <c r="F77" i="2"/>
  <c r="F78" i="2"/>
  <c r="F79" i="2"/>
  <c r="F80" i="2"/>
  <c r="F81" i="2"/>
  <c r="F82" i="2"/>
  <c r="F83" i="2"/>
  <c r="F73" i="2"/>
  <c r="O84" i="2"/>
  <c r="P84" i="2" s="1"/>
  <c r="M84" i="2"/>
  <c r="N84" i="2" s="1"/>
  <c r="L84" i="2"/>
  <c r="G84" i="2"/>
  <c r="E84" i="2"/>
  <c r="H84" i="2" s="1"/>
  <c r="I84" i="2" s="1"/>
  <c r="D84" i="2"/>
  <c r="P83" i="2"/>
  <c r="J83" i="2"/>
  <c r="H83" i="2"/>
  <c r="I83" i="2" s="1"/>
  <c r="P82" i="2"/>
  <c r="J82" i="2"/>
  <c r="H82" i="2"/>
  <c r="I82" i="2" s="1"/>
  <c r="P81" i="2"/>
  <c r="J81" i="2"/>
  <c r="H81" i="2"/>
  <c r="I81" i="2" s="1"/>
  <c r="P80" i="2"/>
  <c r="J80" i="2"/>
  <c r="H80" i="2"/>
  <c r="I80" i="2" s="1"/>
  <c r="P79" i="2"/>
  <c r="J79" i="2"/>
  <c r="H79" i="2"/>
  <c r="I79" i="2" s="1"/>
  <c r="P78" i="2"/>
  <c r="J78" i="2"/>
  <c r="H78" i="2"/>
  <c r="I78" i="2" s="1"/>
  <c r="P77" i="2"/>
  <c r="J77" i="2"/>
  <c r="H77" i="2"/>
  <c r="I77" i="2" s="1"/>
  <c r="P76" i="2"/>
  <c r="J76" i="2"/>
  <c r="H76" i="2"/>
  <c r="I76" i="2" s="1"/>
  <c r="P75" i="2"/>
  <c r="J75" i="2"/>
  <c r="H75" i="2"/>
  <c r="I75" i="2" s="1"/>
  <c r="P74" i="2"/>
  <c r="J74" i="2"/>
  <c r="H74" i="2"/>
  <c r="I74" i="2" s="1"/>
  <c r="N60" i="2"/>
  <c r="N61" i="2"/>
  <c r="N62" i="2"/>
  <c r="N63" i="2"/>
  <c r="N64" i="2"/>
  <c r="N65" i="2"/>
  <c r="N66" i="2"/>
  <c r="N67" i="2"/>
  <c r="N68" i="2"/>
  <c r="N69" i="2"/>
  <c r="N59" i="2"/>
  <c r="P59" i="2"/>
  <c r="J59" i="2"/>
  <c r="I59" i="2"/>
  <c r="H59" i="2"/>
  <c r="F63" i="2"/>
  <c r="F60" i="2"/>
  <c r="F61" i="2"/>
  <c r="F62" i="2"/>
  <c r="F64" i="2"/>
  <c r="F65" i="2"/>
  <c r="F66" i="2"/>
  <c r="F67" i="2"/>
  <c r="F68" i="2"/>
  <c r="F69" i="2"/>
  <c r="F59" i="2"/>
  <c r="F45" i="2"/>
  <c r="O70" i="2"/>
  <c r="P70" i="2" s="1"/>
  <c r="M70" i="2"/>
  <c r="N70" i="2" s="1"/>
  <c r="L70" i="2"/>
  <c r="H70" i="2"/>
  <c r="I70" i="2" s="1"/>
  <c r="G70" i="2"/>
  <c r="E70" i="2"/>
  <c r="D70" i="2"/>
  <c r="P69" i="2"/>
  <c r="J69" i="2"/>
  <c r="H69" i="2"/>
  <c r="I69" i="2" s="1"/>
  <c r="P68" i="2"/>
  <c r="J68" i="2"/>
  <c r="H68" i="2"/>
  <c r="I68" i="2" s="1"/>
  <c r="P67" i="2"/>
  <c r="J67" i="2"/>
  <c r="H67" i="2"/>
  <c r="I67" i="2" s="1"/>
  <c r="P66" i="2"/>
  <c r="J66" i="2"/>
  <c r="H66" i="2"/>
  <c r="I66" i="2" s="1"/>
  <c r="P65" i="2"/>
  <c r="J65" i="2"/>
  <c r="H65" i="2"/>
  <c r="I65" i="2" s="1"/>
  <c r="P64" i="2"/>
  <c r="J64" i="2"/>
  <c r="H64" i="2"/>
  <c r="I64" i="2" s="1"/>
  <c r="P63" i="2"/>
  <c r="J63" i="2"/>
  <c r="H63" i="2"/>
  <c r="I63" i="2" s="1"/>
  <c r="P62" i="2"/>
  <c r="J62" i="2"/>
  <c r="H62" i="2"/>
  <c r="I62" i="2" s="1"/>
  <c r="P61" i="2"/>
  <c r="J61" i="2"/>
  <c r="H61" i="2"/>
  <c r="I61" i="2" s="1"/>
  <c r="P60" i="2"/>
  <c r="J60" i="2"/>
  <c r="H60" i="2"/>
  <c r="I60" i="2" s="1"/>
  <c r="P45" i="2"/>
  <c r="G56" i="2"/>
  <c r="H45" i="2"/>
  <c r="P46" i="2"/>
  <c r="P47" i="2"/>
  <c r="P48" i="2"/>
  <c r="P49" i="2"/>
  <c r="P50" i="2"/>
  <c r="P51" i="2"/>
  <c r="P52" i="2"/>
  <c r="P53" i="2"/>
  <c r="P54" i="2"/>
  <c r="P55" i="2"/>
  <c r="O56" i="2"/>
  <c r="P56" i="2" s="1"/>
  <c r="N46" i="2"/>
  <c r="N47" i="2"/>
  <c r="N48" i="2"/>
  <c r="N49" i="2"/>
  <c r="N50" i="2"/>
  <c r="N51" i="2"/>
  <c r="N52" i="2"/>
  <c r="N53" i="2"/>
  <c r="N54" i="2"/>
  <c r="N55" i="2"/>
  <c r="N45" i="2"/>
  <c r="N35" i="2"/>
  <c r="L56" i="2"/>
  <c r="J45" i="2"/>
  <c r="I45" i="2"/>
  <c r="D56" i="2"/>
  <c r="E56" i="2"/>
  <c r="F46" i="2"/>
  <c r="F47" i="2"/>
  <c r="F48" i="2"/>
  <c r="F49" i="2"/>
  <c r="F50" i="2"/>
  <c r="F51" i="2"/>
  <c r="F52" i="2"/>
  <c r="F53" i="2"/>
  <c r="F54" i="2"/>
  <c r="F55" i="2"/>
  <c r="F56" i="2"/>
  <c r="M56" i="2"/>
  <c r="N56" i="2" s="1"/>
  <c r="H56" i="2"/>
  <c r="I56" i="2" s="1"/>
  <c r="J55" i="2"/>
  <c r="H55" i="2"/>
  <c r="I55" i="2" s="1"/>
  <c r="J54" i="2"/>
  <c r="H54" i="2"/>
  <c r="I54" i="2" s="1"/>
  <c r="J53" i="2"/>
  <c r="H53" i="2"/>
  <c r="I53" i="2" s="1"/>
  <c r="J52" i="2"/>
  <c r="H52" i="2"/>
  <c r="I52" i="2" s="1"/>
  <c r="J51" i="2"/>
  <c r="H51" i="2"/>
  <c r="I51" i="2" s="1"/>
  <c r="J50" i="2"/>
  <c r="H50" i="2"/>
  <c r="I50" i="2" s="1"/>
  <c r="J49" i="2"/>
  <c r="H49" i="2"/>
  <c r="I49" i="2" s="1"/>
  <c r="J48" i="2"/>
  <c r="H48" i="2"/>
  <c r="I48" i="2" s="1"/>
  <c r="J47" i="2"/>
  <c r="H47" i="2"/>
  <c r="I47" i="2" s="1"/>
  <c r="J46" i="2"/>
  <c r="H46" i="2"/>
  <c r="I46" i="2" s="1"/>
  <c r="P32" i="2"/>
  <c r="P33" i="2"/>
  <c r="P34" i="2"/>
  <c r="P35" i="2"/>
  <c r="P36" i="2"/>
  <c r="P37" i="2"/>
  <c r="P38" i="2"/>
  <c r="P39" i="2"/>
  <c r="P40" i="2"/>
  <c r="P41" i="2"/>
  <c r="P31" i="2"/>
  <c r="P17" i="2"/>
  <c r="O42" i="2"/>
  <c r="N32" i="2"/>
  <c r="N33" i="2"/>
  <c r="N34" i="2"/>
  <c r="N36" i="2"/>
  <c r="N37" i="2"/>
  <c r="N38" i="2"/>
  <c r="N39" i="2"/>
  <c r="N40" i="2"/>
  <c r="N41" i="2"/>
  <c r="N31" i="2"/>
  <c r="N17" i="2"/>
  <c r="L42" i="2"/>
  <c r="J32" i="2"/>
  <c r="J33" i="2"/>
  <c r="J34" i="2"/>
  <c r="J35" i="2"/>
  <c r="J36" i="2"/>
  <c r="J37" i="2"/>
  <c r="J38" i="2"/>
  <c r="J39" i="2"/>
  <c r="J40" i="2"/>
  <c r="J41" i="2"/>
  <c r="J31" i="2"/>
  <c r="J17" i="2"/>
  <c r="H32" i="2"/>
  <c r="I32" i="2" s="1"/>
  <c r="H33" i="2"/>
  <c r="H34" i="2"/>
  <c r="I34" i="2" s="1"/>
  <c r="H35" i="2"/>
  <c r="H36" i="2"/>
  <c r="I36" i="2" s="1"/>
  <c r="H37" i="2"/>
  <c r="I37" i="2" s="1"/>
  <c r="H38" i="2"/>
  <c r="I38" i="2" s="1"/>
  <c r="H39" i="2"/>
  <c r="I39" i="2" s="1"/>
  <c r="H40" i="2"/>
  <c r="I40" i="2" s="1"/>
  <c r="H41" i="2"/>
  <c r="H31" i="2"/>
  <c r="I31" i="2" s="1"/>
  <c r="I35" i="2"/>
  <c r="F32" i="2"/>
  <c r="F33" i="2"/>
  <c r="F34" i="2"/>
  <c r="F35" i="2"/>
  <c r="F36" i="2"/>
  <c r="F37" i="2"/>
  <c r="F38" i="2"/>
  <c r="F39" i="2"/>
  <c r="F40" i="2"/>
  <c r="F41" i="2"/>
  <c r="F31" i="2"/>
  <c r="E42" i="2"/>
  <c r="H42" i="2" s="1"/>
  <c r="D42" i="2"/>
  <c r="M42" i="2"/>
  <c r="G42" i="2"/>
  <c r="I41" i="2"/>
  <c r="I33" i="2"/>
  <c r="H17" i="2"/>
  <c r="J21" i="2"/>
  <c r="J22" i="2"/>
  <c r="J23" i="2"/>
  <c r="J24" i="2"/>
  <c r="J25" i="2"/>
  <c r="J26" i="2"/>
  <c r="J27" i="2"/>
  <c r="J20" i="2"/>
  <c r="I17" i="2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G28" i="2"/>
  <c r="N18" i="2"/>
  <c r="N19" i="2"/>
  <c r="N20" i="2"/>
  <c r="N21" i="2"/>
  <c r="N22" i="2"/>
  <c r="N23" i="2"/>
  <c r="N24" i="2"/>
  <c r="N25" i="2"/>
  <c r="N26" i="2"/>
  <c r="N27" i="2"/>
  <c r="N3" i="2"/>
  <c r="P18" i="2"/>
  <c r="P19" i="2"/>
  <c r="P20" i="2"/>
  <c r="P21" i="2"/>
  <c r="P22" i="2"/>
  <c r="P23" i="2"/>
  <c r="P24" i="2"/>
  <c r="P25" i="2"/>
  <c r="P26" i="2"/>
  <c r="P27" i="2"/>
  <c r="P3" i="2"/>
  <c r="I3" i="2"/>
  <c r="J3" i="2" s="1"/>
  <c r="F18" i="2"/>
  <c r="F19" i="2"/>
  <c r="F20" i="2"/>
  <c r="F21" i="2"/>
  <c r="F22" i="2"/>
  <c r="F23" i="2"/>
  <c r="F24" i="2"/>
  <c r="F25" i="2"/>
  <c r="F26" i="2"/>
  <c r="F27" i="2"/>
  <c r="F17" i="2"/>
  <c r="O28" i="2"/>
  <c r="M28" i="2"/>
  <c r="L28" i="2"/>
  <c r="E28" i="2"/>
  <c r="J28" i="2" s="1"/>
  <c r="D28" i="2"/>
  <c r="J19" i="2"/>
  <c r="J18" i="2"/>
  <c r="R87" i="1"/>
  <c r="K3" i="2"/>
  <c r="K7" i="2"/>
  <c r="P4" i="2"/>
  <c r="P5" i="2"/>
  <c r="P6" i="2"/>
  <c r="P7" i="2"/>
  <c r="P8" i="2"/>
  <c r="P9" i="2"/>
  <c r="P10" i="2"/>
  <c r="P11" i="2"/>
  <c r="P12" i="2"/>
  <c r="P13" i="2"/>
  <c r="N4" i="2"/>
  <c r="N5" i="2"/>
  <c r="N6" i="2"/>
  <c r="N7" i="2"/>
  <c r="N8" i="2"/>
  <c r="N9" i="2"/>
  <c r="N10" i="2"/>
  <c r="N11" i="2"/>
  <c r="N12" i="2"/>
  <c r="N13" i="2"/>
  <c r="P87" i="1"/>
  <c r="M87" i="1"/>
  <c r="F4" i="2"/>
  <c r="F5" i="2"/>
  <c r="F6" i="2"/>
  <c r="F7" i="2"/>
  <c r="F8" i="2"/>
  <c r="F9" i="2"/>
  <c r="F10" i="2"/>
  <c r="F11" i="2"/>
  <c r="F12" i="2"/>
  <c r="F13" i="2"/>
  <c r="F3" i="2"/>
  <c r="C14" i="2"/>
  <c r="B14" i="2"/>
  <c r="O14" i="2"/>
  <c r="M14" i="2"/>
  <c r="N14" i="2" s="1"/>
  <c r="L14" i="2"/>
  <c r="G14" i="2"/>
  <c r="E14" i="2"/>
  <c r="D14" i="2"/>
  <c r="K13" i="2"/>
  <c r="I13" i="2"/>
  <c r="J13" i="2" s="1"/>
  <c r="K12" i="2"/>
  <c r="I12" i="2"/>
  <c r="K11" i="2"/>
  <c r="I11" i="2"/>
  <c r="K10" i="2"/>
  <c r="I10" i="2"/>
  <c r="K9" i="2"/>
  <c r="I9" i="2"/>
  <c r="K8" i="2"/>
  <c r="I8" i="2"/>
  <c r="I7" i="2"/>
  <c r="K6" i="2"/>
  <c r="I6" i="2"/>
  <c r="K5" i="2"/>
  <c r="I5" i="2"/>
  <c r="K4" i="2"/>
  <c r="I4" i="2"/>
  <c r="Q98" i="1"/>
  <c r="O98" i="1"/>
  <c r="N98" i="1"/>
  <c r="I98" i="1"/>
  <c r="H98" i="1"/>
  <c r="G98" i="1"/>
  <c r="R97" i="1"/>
  <c r="P97" i="1"/>
  <c r="M97" i="1"/>
  <c r="J97" i="1"/>
  <c r="K97" i="1" s="1"/>
  <c r="R96" i="1"/>
  <c r="P96" i="1"/>
  <c r="M96" i="1"/>
  <c r="J96" i="1"/>
  <c r="K96" i="1" s="1"/>
  <c r="R95" i="1"/>
  <c r="P95" i="1"/>
  <c r="M95" i="1"/>
  <c r="J95" i="1"/>
  <c r="K95" i="1" s="1"/>
  <c r="R94" i="1"/>
  <c r="P94" i="1"/>
  <c r="M94" i="1"/>
  <c r="J94" i="1"/>
  <c r="K94" i="1" s="1"/>
  <c r="R93" i="1"/>
  <c r="P93" i="1"/>
  <c r="M93" i="1"/>
  <c r="J93" i="1"/>
  <c r="K93" i="1" s="1"/>
  <c r="R92" i="1"/>
  <c r="P92" i="1"/>
  <c r="M92" i="1"/>
  <c r="J92" i="1"/>
  <c r="K92" i="1" s="1"/>
  <c r="R91" i="1"/>
  <c r="P91" i="1"/>
  <c r="M91" i="1"/>
  <c r="J91" i="1"/>
  <c r="K91" i="1" s="1"/>
  <c r="R90" i="1"/>
  <c r="P90" i="1"/>
  <c r="M90" i="1"/>
  <c r="J90" i="1"/>
  <c r="K90" i="1" s="1"/>
  <c r="R89" i="1"/>
  <c r="P89" i="1"/>
  <c r="M89" i="1"/>
  <c r="J89" i="1"/>
  <c r="K89" i="1" s="1"/>
  <c r="R88" i="1"/>
  <c r="P88" i="1"/>
  <c r="M88" i="1"/>
  <c r="J88" i="1"/>
  <c r="K88" i="1" s="1"/>
  <c r="L88" i="1" s="1"/>
  <c r="J87" i="1"/>
  <c r="K87" i="1" s="1"/>
  <c r="Q84" i="1"/>
  <c r="O84" i="1"/>
  <c r="N84" i="1"/>
  <c r="I84" i="1"/>
  <c r="H84" i="1"/>
  <c r="G84" i="1"/>
  <c r="R83" i="1"/>
  <c r="P83" i="1"/>
  <c r="M83" i="1"/>
  <c r="J83" i="1"/>
  <c r="K83" i="1" s="1"/>
  <c r="R82" i="1"/>
  <c r="P82" i="1"/>
  <c r="M82" i="1"/>
  <c r="K82" i="1"/>
  <c r="J82" i="1"/>
  <c r="R81" i="1"/>
  <c r="P81" i="1"/>
  <c r="M81" i="1"/>
  <c r="J81" i="1"/>
  <c r="K81" i="1" s="1"/>
  <c r="R80" i="1"/>
  <c r="P80" i="1"/>
  <c r="M80" i="1"/>
  <c r="J80" i="1"/>
  <c r="K80" i="1" s="1"/>
  <c r="R79" i="1"/>
  <c r="P79" i="1"/>
  <c r="M79" i="1"/>
  <c r="J79" i="1"/>
  <c r="K79" i="1" s="1"/>
  <c r="R78" i="1"/>
  <c r="P78" i="1"/>
  <c r="M78" i="1"/>
  <c r="K78" i="1"/>
  <c r="J78" i="1"/>
  <c r="R77" i="1"/>
  <c r="P77" i="1"/>
  <c r="M77" i="1"/>
  <c r="J77" i="1"/>
  <c r="K77" i="1" s="1"/>
  <c r="R76" i="1"/>
  <c r="P76" i="1"/>
  <c r="M76" i="1"/>
  <c r="J76" i="1"/>
  <c r="K76" i="1" s="1"/>
  <c r="R75" i="1"/>
  <c r="P75" i="1"/>
  <c r="M75" i="1"/>
  <c r="J75" i="1"/>
  <c r="K75" i="1" s="1"/>
  <c r="R74" i="1"/>
  <c r="P74" i="1"/>
  <c r="M74" i="1"/>
  <c r="J74" i="1"/>
  <c r="K74" i="1" s="1"/>
  <c r="R73" i="1"/>
  <c r="P73" i="1"/>
  <c r="M73" i="1"/>
  <c r="J73" i="1"/>
  <c r="K73" i="1" s="1"/>
  <c r="Q70" i="1"/>
  <c r="O70" i="1"/>
  <c r="N70" i="1"/>
  <c r="P70" i="1" s="1"/>
  <c r="M70" i="1"/>
  <c r="I70" i="1"/>
  <c r="H70" i="1"/>
  <c r="G70" i="1"/>
  <c r="R84" i="1" s="1"/>
  <c r="R69" i="1"/>
  <c r="P69" i="1"/>
  <c r="M69" i="1"/>
  <c r="J69" i="1"/>
  <c r="K69" i="1" s="1"/>
  <c r="R68" i="1"/>
  <c r="P68" i="1"/>
  <c r="M68" i="1"/>
  <c r="J68" i="1"/>
  <c r="K68" i="1" s="1"/>
  <c r="R67" i="1"/>
  <c r="P67" i="1"/>
  <c r="M67" i="1"/>
  <c r="J67" i="1"/>
  <c r="K67" i="1" s="1"/>
  <c r="L67" i="1" s="1"/>
  <c r="R66" i="1"/>
  <c r="P66" i="1"/>
  <c r="M66" i="1"/>
  <c r="K66" i="1"/>
  <c r="J66" i="1"/>
  <c r="R65" i="1"/>
  <c r="P65" i="1"/>
  <c r="M65" i="1"/>
  <c r="J65" i="1"/>
  <c r="K65" i="1" s="1"/>
  <c r="R64" i="1"/>
  <c r="P64" i="1"/>
  <c r="M64" i="1"/>
  <c r="J64" i="1"/>
  <c r="K64" i="1" s="1"/>
  <c r="R63" i="1"/>
  <c r="P63" i="1"/>
  <c r="M63" i="1"/>
  <c r="J63" i="1"/>
  <c r="K63" i="1" s="1"/>
  <c r="R62" i="1"/>
  <c r="P62" i="1"/>
  <c r="M62" i="1"/>
  <c r="J62" i="1"/>
  <c r="K62" i="1" s="1"/>
  <c r="R61" i="1"/>
  <c r="P61" i="1"/>
  <c r="M61" i="1"/>
  <c r="J61" i="1"/>
  <c r="K61" i="1" s="1"/>
  <c r="R60" i="1"/>
  <c r="P60" i="1"/>
  <c r="M60" i="1"/>
  <c r="J60" i="1"/>
  <c r="K60" i="1" s="1"/>
  <c r="R59" i="1"/>
  <c r="P59" i="1"/>
  <c r="M59" i="1"/>
  <c r="J59" i="1"/>
  <c r="Q56" i="1"/>
  <c r="O56" i="1"/>
  <c r="N56" i="1"/>
  <c r="I56" i="1"/>
  <c r="H56" i="1"/>
  <c r="G56" i="1"/>
  <c r="R55" i="1"/>
  <c r="P55" i="1"/>
  <c r="M55" i="1"/>
  <c r="J55" i="1"/>
  <c r="K55" i="1" s="1"/>
  <c r="L55" i="1" s="1"/>
  <c r="R54" i="1"/>
  <c r="P54" i="1"/>
  <c r="M54" i="1"/>
  <c r="J54" i="1"/>
  <c r="K54" i="1" s="1"/>
  <c r="R53" i="1"/>
  <c r="P53" i="1"/>
  <c r="M53" i="1"/>
  <c r="K53" i="1"/>
  <c r="J53" i="1"/>
  <c r="R52" i="1"/>
  <c r="P52" i="1"/>
  <c r="M52" i="1"/>
  <c r="J52" i="1"/>
  <c r="K52" i="1" s="1"/>
  <c r="R51" i="1"/>
  <c r="P51" i="1"/>
  <c r="M51" i="1"/>
  <c r="J51" i="1"/>
  <c r="K51" i="1" s="1"/>
  <c r="R50" i="1"/>
  <c r="P50" i="1"/>
  <c r="M50" i="1"/>
  <c r="J50" i="1"/>
  <c r="K50" i="1" s="1"/>
  <c r="R49" i="1"/>
  <c r="P49" i="1"/>
  <c r="M49" i="1"/>
  <c r="J49" i="1"/>
  <c r="K49" i="1" s="1"/>
  <c r="R48" i="1"/>
  <c r="P48" i="1"/>
  <c r="M48" i="1"/>
  <c r="J48" i="1"/>
  <c r="K48" i="1" s="1"/>
  <c r="R47" i="1"/>
  <c r="P47" i="1"/>
  <c r="M47" i="1"/>
  <c r="K47" i="1"/>
  <c r="J47" i="1"/>
  <c r="R46" i="1"/>
  <c r="P46" i="1"/>
  <c r="M46" i="1"/>
  <c r="J46" i="1"/>
  <c r="K46" i="1" s="1"/>
  <c r="R45" i="1"/>
  <c r="P45" i="1"/>
  <c r="M45" i="1"/>
  <c r="J45" i="1"/>
  <c r="Q42" i="1"/>
  <c r="P42" i="1"/>
  <c r="O42" i="1"/>
  <c r="N42" i="1"/>
  <c r="I42" i="1"/>
  <c r="H42" i="1"/>
  <c r="M42" i="1" s="1"/>
  <c r="G42" i="1"/>
  <c r="R41" i="1"/>
  <c r="P41" i="1"/>
  <c r="M41" i="1"/>
  <c r="J41" i="1"/>
  <c r="K41" i="1" s="1"/>
  <c r="R40" i="1"/>
  <c r="P40" i="1"/>
  <c r="M40" i="1"/>
  <c r="J40" i="1"/>
  <c r="K40" i="1" s="1"/>
  <c r="R39" i="1"/>
  <c r="P39" i="1"/>
  <c r="M39" i="1"/>
  <c r="J39" i="1"/>
  <c r="K39" i="1" s="1"/>
  <c r="R38" i="1"/>
  <c r="P38" i="1"/>
  <c r="M38" i="1"/>
  <c r="J38" i="1"/>
  <c r="K38" i="1" s="1"/>
  <c r="R37" i="1"/>
  <c r="P37" i="1"/>
  <c r="M37" i="1"/>
  <c r="J37" i="1"/>
  <c r="K37" i="1" s="1"/>
  <c r="R36" i="1"/>
  <c r="P36" i="1"/>
  <c r="M36" i="1"/>
  <c r="J36" i="1"/>
  <c r="K36" i="1" s="1"/>
  <c r="R35" i="1"/>
  <c r="P35" i="1"/>
  <c r="M35" i="1"/>
  <c r="J35" i="1"/>
  <c r="K35" i="1" s="1"/>
  <c r="R34" i="1"/>
  <c r="P34" i="1"/>
  <c r="M34" i="1"/>
  <c r="J34" i="1"/>
  <c r="K34" i="1" s="1"/>
  <c r="R33" i="1"/>
  <c r="P33" i="1"/>
  <c r="M33" i="1"/>
  <c r="J33" i="1"/>
  <c r="K33" i="1" s="1"/>
  <c r="R32" i="1"/>
  <c r="P32" i="1"/>
  <c r="M32" i="1"/>
  <c r="J32" i="1"/>
  <c r="K32" i="1" s="1"/>
  <c r="R31" i="1"/>
  <c r="P31" i="1"/>
  <c r="M31" i="1"/>
  <c r="J31" i="1"/>
  <c r="K31" i="1" s="1"/>
  <c r="Q28" i="1"/>
  <c r="O28" i="1"/>
  <c r="N28" i="1"/>
  <c r="I28" i="1"/>
  <c r="H28" i="1"/>
  <c r="G28" i="1"/>
  <c r="R27" i="1"/>
  <c r="P27" i="1"/>
  <c r="M27" i="1"/>
  <c r="J27" i="1"/>
  <c r="K27" i="1" s="1"/>
  <c r="R26" i="1"/>
  <c r="P26" i="1"/>
  <c r="M26" i="1"/>
  <c r="J26" i="1"/>
  <c r="K26" i="1" s="1"/>
  <c r="R25" i="1"/>
  <c r="P25" i="1"/>
  <c r="M25" i="1"/>
  <c r="J25" i="1"/>
  <c r="K25" i="1" s="1"/>
  <c r="R24" i="1"/>
  <c r="P24" i="1"/>
  <c r="M24" i="1"/>
  <c r="J24" i="1"/>
  <c r="K24" i="1" s="1"/>
  <c r="R23" i="1"/>
  <c r="P23" i="1"/>
  <c r="M23" i="1"/>
  <c r="J23" i="1"/>
  <c r="K23" i="1" s="1"/>
  <c r="R22" i="1"/>
  <c r="P22" i="1"/>
  <c r="M22" i="1"/>
  <c r="J22" i="1"/>
  <c r="K22" i="1" s="1"/>
  <c r="R21" i="1"/>
  <c r="P21" i="1"/>
  <c r="M21" i="1"/>
  <c r="J21" i="1"/>
  <c r="K21" i="1" s="1"/>
  <c r="R20" i="1"/>
  <c r="P20" i="1"/>
  <c r="M20" i="1"/>
  <c r="J20" i="1"/>
  <c r="K20" i="1" s="1"/>
  <c r="R19" i="1"/>
  <c r="P19" i="1"/>
  <c r="M19" i="1"/>
  <c r="J19" i="1"/>
  <c r="K19" i="1" s="1"/>
  <c r="R18" i="1"/>
  <c r="P18" i="1"/>
  <c r="M18" i="1"/>
  <c r="J18" i="1"/>
  <c r="K18" i="1" s="1"/>
  <c r="R17" i="1"/>
  <c r="P17" i="1"/>
  <c r="M17" i="1"/>
  <c r="K17" i="1"/>
  <c r="J17" i="1"/>
  <c r="Q14" i="1"/>
  <c r="O14" i="1"/>
  <c r="N14" i="1"/>
  <c r="I14" i="1"/>
  <c r="H14" i="1"/>
  <c r="M14" i="1" s="1"/>
  <c r="G14" i="1"/>
  <c r="F14" i="1"/>
  <c r="C14" i="1"/>
  <c r="B14" i="1"/>
  <c r="R13" i="1"/>
  <c r="P13" i="1"/>
  <c r="M13" i="1"/>
  <c r="J13" i="1"/>
  <c r="K13" i="1" s="1"/>
  <c r="D13" i="1"/>
  <c r="E13" i="1" s="1"/>
  <c r="R12" i="1"/>
  <c r="P12" i="1"/>
  <c r="M12" i="1"/>
  <c r="J12" i="1"/>
  <c r="K12" i="1" s="1"/>
  <c r="D12" i="1"/>
  <c r="E12" i="1" s="1"/>
  <c r="R11" i="1"/>
  <c r="P11" i="1"/>
  <c r="M11" i="1"/>
  <c r="J11" i="1"/>
  <c r="K11" i="1" s="1"/>
  <c r="D11" i="1"/>
  <c r="E11" i="1" s="1"/>
  <c r="R10" i="1"/>
  <c r="P10" i="1"/>
  <c r="M10" i="1"/>
  <c r="J10" i="1"/>
  <c r="K10" i="1" s="1"/>
  <c r="D10" i="1"/>
  <c r="E10" i="1" s="1"/>
  <c r="R9" i="1"/>
  <c r="P9" i="1"/>
  <c r="M9" i="1"/>
  <c r="J9" i="1"/>
  <c r="K9" i="1" s="1"/>
  <c r="D9" i="1"/>
  <c r="E9" i="1" s="1"/>
  <c r="R8" i="1"/>
  <c r="P8" i="1"/>
  <c r="M8" i="1"/>
  <c r="J8" i="1"/>
  <c r="K8" i="1" s="1"/>
  <c r="D8" i="1"/>
  <c r="E8" i="1" s="1"/>
  <c r="R7" i="1"/>
  <c r="P7" i="1"/>
  <c r="M7" i="1"/>
  <c r="J7" i="1"/>
  <c r="K7" i="1" s="1"/>
  <c r="D7" i="1"/>
  <c r="E7" i="1" s="1"/>
  <c r="R6" i="1"/>
  <c r="P6" i="1"/>
  <c r="M6" i="1"/>
  <c r="J6" i="1"/>
  <c r="K6" i="1" s="1"/>
  <c r="D6" i="1"/>
  <c r="E6" i="1" s="1"/>
  <c r="R5" i="1"/>
  <c r="P5" i="1"/>
  <c r="M5" i="1"/>
  <c r="J5" i="1"/>
  <c r="K5" i="1" s="1"/>
  <c r="D5" i="1"/>
  <c r="E5" i="1" s="1"/>
  <c r="R4" i="1"/>
  <c r="P4" i="1"/>
  <c r="M4" i="1"/>
  <c r="J4" i="1"/>
  <c r="K4" i="1" s="1"/>
  <c r="D4" i="1"/>
  <c r="E4" i="1" s="1"/>
  <c r="R3" i="1"/>
  <c r="P3" i="1"/>
  <c r="M3" i="1"/>
  <c r="J3" i="1"/>
  <c r="D3" i="1"/>
  <c r="E3" i="1" s="1"/>
  <c r="L87" i="1" s="1"/>
  <c r="I112" i="2" l="1"/>
  <c r="J112" i="2"/>
  <c r="H98" i="2"/>
  <c r="I98" i="2" s="1"/>
  <c r="J98" i="2"/>
  <c r="F84" i="2"/>
  <c r="F70" i="2"/>
  <c r="J70" i="2"/>
  <c r="N28" i="2"/>
  <c r="P28" i="2"/>
  <c r="N42" i="2"/>
  <c r="J56" i="2"/>
  <c r="L83" i="1"/>
  <c r="L19" i="1"/>
  <c r="R42" i="1"/>
  <c r="L69" i="1"/>
  <c r="P84" i="1"/>
  <c r="P98" i="1"/>
  <c r="J5" i="2"/>
  <c r="J7" i="2"/>
  <c r="F28" i="2"/>
  <c r="H28" i="2"/>
  <c r="I28" i="2" s="1"/>
  <c r="J9" i="2"/>
  <c r="L10" i="1"/>
  <c r="L53" i="1"/>
  <c r="R14" i="1"/>
  <c r="R28" i="1"/>
  <c r="J56" i="1"/>
  <c r="R56" i="1"/>
  <c r="L38" i="1"/>
  <c r="L48" i="1"/>
  <c r="L50" i="1"/>
  <c r="L52" i="1"/>
  <c r="L64" i="1"/>
  <c r="F14" i="2"/>
  <c r="P14" i="2"/>
  <c r="J42" i="2"/>
  <c r="P42" i="2"/>
  <c r="F42" i="2"/>
  <c r="I42" i="2"/>
  <c r="M84" i="1"/>
  <c r="J10" i="2"/>
  <c r="L79" i="1"/>
  <c r="P56" i="1"/>
  <c r="L62" i="1"/>
  <c r="L36" i="1"/>
  <c r="P14" i="1"/>
  <c r="L27" i="1"/>
  <c r="P28" i="1"/>
  <c r="K45" i="1"/>
  <c r="R70" i="1"/>
  <c r="R98" i="1"/>
  <c r="J6" i="2"/>
  <c r="J70" i="1"/>
  <c r="L94" i="1"/>
  <c r="J11" i="2"/>
  <c r="J14" i="1"/>
  <c r="D14" i="1"/>
  <c r="L75" i="1"/>
  <c r="L89" i="1"/>
  <c r="L5" i="1"/>
  <c r="L66" i="1"/>
  <c r="L13" i="1"/>
  <c r="J28" i="1"/>
  <c r="M98" i="1"/>
  <c r="J8" i="2"/>
  <c r="J12" i="2"/>
  <c r="M56" i="1"/>
  <c r="L49" i="1"/>
  <c r="L17" i="1"/>
  <c r="L26" i="1"/>
  <c r="M28" i="1"/>
  <c r="L39" i="1"/>
  <c r="L41" i="1"/>
  <c r="L65" i="1"/>
  <c r="J4" i="2"/>
  <c r="H14" i="2"/>
  <c r="I14" i="2" s="1"/>
  <c r="K14" i="2"/>
  <c r="L46" i="1"/>
  <c r="K56" i="1"/>
  <c r="L74" i="1"/>
  <c r="L21" i="1"/>
  <c r="K98" i="1"/>
  <c r="E14" i="1"/>
  <c r="L45" i="1"/>
  <c r="L54" i="1"/>
  <c r="L78" i="1"/>
  <c r="L92" i="1"/>
  <c r="L11" i="1"/>
  <c r="L18" i="1"/>
  <c r="L20" i="1"/>
  <c r="L47" i="1"/>
  <c r="L97" i="1"/>
  <c r="L7" i="1"/>
  <c r="L77" i="1"/>
  <c r="L4" i="1"/>
  <c r="L12" i="1"/>
  <c r="L60" i="1"/>
  <c r="L91" i="1"/>
  <c r="L9" i="1"/>
  <c r="L93" i="1"/>
  <c r="L76" i="1"/>
  <c r="L81" i="1"/>
  <c r="L8" i="1"/>
  <c r="L31" i="1"/>
  <c r="K42" i="1"/>
  <c r="L33" i="1"/>
  <c r="L61" i="1"/>
  <c r="L68" i="1"/>
  <c r="L73" i="1"/>
  <c r="L90" i="1"/>
  <c r="L82" i="1"/>
  <c r="L96" i="1"/>
  <c r="L32" i="1"/>
  <c r="L23" i="1"/>
  <c r="L34" i="1"/>
  <c r="L6" i="1"/>
  <c r="L25" i="1"/>
  <c r="L40" i="1"/>
  <c r="L95" i="1"/>
  <c r="L22" i="1"/>
  <c r="L24" i="1"/>
  <c r="L35" i="1"/>
  <c r="L37" i="1"/>
  <c r="L51" i="1"/>
  <c r="L63" i="1"/>
  <c r="L80" i="1"/>
  <c r="K59" i="1"/>
  <c r="J98" i="1"/>
  <c r="J42" i="1"/>
  <c r="J84" i="1"/>
  <c r="K84" i="1" s="1"/>
  <c r="K28" i="1"/>
  <c r="K3" i="1"/>
  <c r="J14" i="2" l="1"/>
  <c r="L28" i="1"/>
  <c r="L98" i="1"/>
  <c r="L42" i="1"/>
  <c r="L84" i="1"/>
  <c r="K70" i="1"/>
  <c r="L59" i="1"/>
  <c r="L70" i="1" s="1"/>
  <c r="K14" i="1"/>
  <c r="L3" i="1"/>
  <c r="L14" i="1" s="1"/>
  <c r="L56" i="1"/>
</calcChain>
</file>

<file path=xl/sharedStrings.xml><?xml version="1.0" encoding="utf-8"?>
<sst xmlns="http://schemas.openxmlformats.org/spreadsheetml/2006/main" count="398" uniqueCount="215">
  <si>
    <r>
      <rPr>
        <b/>
        <sz val="11"/>
        <color rgb="FF000000"/>
        <rFont val="Calibri"/>
        <family val="2"/>
      </rPr>
      <t>6</t>
    </r>
    <r>
      <rPr>
        <b/>
        <sz val="11"/>
        <color rgb="FF000000"/>
        <rFont val="宋体"/>
        <family val="3"/>
        <charset val="134"/>
      </rPr>
      <t>月数据</t>
    </r>
  </si>
  <si>
    <t>地区</t>
  </si>
  <si>
    <t>202312计费</t>
  </si>
  <si>
    <t>202312高速计费</t>
  </si>
  <si>
    <t>202312非高速计费</t>
  </si>
  <si>
    <t>202312等效计费</t>
  </si>
  <si>
    <t>202405用户数到达</t>
  </si>
  <si>
    <t>202406用户数到达</t>
  </si>
  <si>
    <t>202406计费</t>
  </si>
  <si>
    <t>202406高速计费</t>
  </si>
  <si>
    <t>202406非高速计费</t>
  </si>
  <si>
    <t>202406等效计费</t>
  </si>
  <si>
    <t>202406等效计费净增</t>
  </si>
  <si>
    <t>202406计费率</t>
  </si>
  <si>
    <t>202406已激活</t>
  </si>
  <si>
    <t>202406活跃用户</t>
  </si>
  <si>
    <t>202406活跃率</t>
  </si>
  <si>
    <t>202406离网用户</t>
  </si>
  <si>
    <t>202406离网率</t>
  </si>
  <si>
    <r>
      <rPr>
        <sz val="10"/>
        <color theme="1"/>
        <rFont val="等线"/>
        <family val="3"/>
        <charset val="134"/>
      </rPr>
      <t>衢州</t>
    </r>
  </si>
  <si>
    <r>
      <rPr>
        <sz val="10"/>
        <color theme="1"/>
        <rFont val="等线"/>
        <family val="3"/>
        <charset val="134"/>
      </rPr>
      <t>杭州</t>
    </r>
  </si>
  <si>
    <r>
      <rPr>
        <sz val="10"/>
        <color theme="1"/>
        <rFont val="等线"/>
        <family val="3"/>
        <charset val="134"/>
      </rPr>
      <t>湖州</t>
    </r>
  </si>
  <si>
    <r>
      <rPr>
        <sz val="10"/>
        <color theme="1"/>
        <rFont val="等线"/>
        <family val="3"/>
        <charset val="134"/>
      </rPr>
      <t>嘉兴</t>
    </r>
  </si>
  <si>
    <r>
      <rPr>
        <sz val="10"/>
        <color theme="1"/>
        <rFont val="等线"/>
        <family val="3"/>
        <charset val="134"/>
      </rPr>
      <t>宁波</t>
    </r>
  </si>
  <si>
    <r>
      <rPr>
        <sz val="10"/>
        <color theme="1"/>
        <rFont val="等线"/>
        <family val="3"/>
        <charset val="134"/>
      </rPr>
      <t>绍兴</t>
    </r>
  </si>
  <si>
    <r>
      <rPr>
        <sz val="10"/>
        <color theme="1"/>
        <rFont val="等线"/>
        <family val="3"/>
        <charset val="134"/>
      </rPr>
      <t>台州</t>
    </r>
  </si>
  <si>
    <r>
      <rPr>
        <sz val="10"/>
        <color theme="1"/>
        <rFont val="等线"/>
        <family val="3"/>
        <charset val="134"/>
      </rPr>
      <t>温州</t>
    </r>
  </si>
  <si>
    <r>
      <rPr>
        <sz val="10"/>
        <color theme="1"/>
        <rFont val="等线"/>
        <family val="3"/>
        <charset val="134"/>
      </rPr>
      <t>丽水</t>
    </r>
  </si>
  <si>
    <r>
      <rPr>
        <sz val="10"/>
        <color theme="1"/>
        <rFont val="等线"/>
        <family val="3"/>
        <charset val="134"/>
      </rPr>
      <t>金华</t>
    </r>
  </si>
  <si>
    <r>
      <rPr>
        <sz val="10"/>
        <color theme="1"/>
        <rFont val="等线"/>
        <family val="3"/>
        <charset val="134"/>
      </rPr>
      <t>舟山</t>
    </r>
  </si>
  <si>
    <t>全省</t>
  </si>
  <si>
    <r>
      <rPr>
        <b/>
        <sz val="11"/>
        <color rgb="FF000000"/>
        <rFont val="Calibri"/>
        <family val="2"/>
      </rPr>
      <t>7</t>
    </r>
    <r>
      <rPr>
        <b/>
        <sz val="11"/>
        <color rgb="FF000000"/>
        <rFont val="宋体"/>
        <family val="3"/>
        <charset val="134"/>
      </rPr>
      <t>月数据</t>
    </r>
  </si>
  <si>
    <t>202407用户数到达</t>
  </si>
  <si>
    <t>202407计费</t>
  </si>
  <si>
    <t>202407高速计费</t>
  </si>
  <si>
    <t>202407非高速计费</t>
  </si>
  <si>
    <t>202407等效计费</t>
  </si>
  <si>
    <t>202407等效计费净增</t>
  </si>
  <si>
    <t>202407计费率</t>
  </si>
  <si>
    <t>202407已激活</t>
  </si>
  <si>
    <t>202407活跃用户</t>
  </si>
  <si>
    <t>202407活跃率</t>
  </si>
  <si>
    <t>202407离网用户</t>
  </si>
  <si>
    <t>202407离网率</t>
  </si>
  <si>
    <r>
      <rPr>
        <b/>
        <sz val="11"/>
        <color rgb="FF000000"/>
        <rFont val="Calibri"/>
        <family val="2"/>
      </rPr>
      <t>8</t>
    </r>
    <r>
      <rPr>
        <b/>
        <sz val="11"/>
        <color rgb="FF000000"/>
        <rFont val="宋体"/>
        <family val="3"/>
        <charset val="134"/>
      </rPr>
      <t>月数据</t>
    </r>
  </si>
  <si>
    <t>202408用户数到达</t>
  </si>
  <si>
    <t>202408计费</t>
  </si>
  <si>
    <t>202408高速计费</t>
  </si>
  <si>
    <t>202408非高速计费</t>
  </si>
  <si>
    <t>202408等效计费</t>
  </si>
  <si>
    <t>202408等效计费净增</t>
  </si>
  <si>
    <t>202408计费率</t>
  </si>
  <si>
    <t>202408已激活</t>
  </si>
  <si>
    <t>202408活跃用户</t>
  </si>
  <si>
    <t>202408活跃率</t>
  </si>
  <si>
    <t>202408离网用户</t>
  </si>
  <si>
    <t>202408离网率</t>
  </si>
  <si>
    <t>9月数据</t>
  </si>
  <si>
    <t>202409用户数到达</t>
  </si>
  <si>
    <t>202409计费</t>
  </si>
  <si>
    <t>202409高速计费</t>
  </si>
  <si>
    <t>202409非高速计费</t>
  </si>
  <si>
    <t>202409等效计费</t>
  </si>
  <si>
    <t>202409等效计费净增</t>
  </si>
  <si>
    <t>202409计费率</t>
  </si>
  <si>
    <t>202409已激活</t>
  </si>
  <si>
    <t>202409活跃用户</t>
  </si>
  <si>
    <t>202409活跃率</t>
  </si>
  <si>
    <t>202409离网用户</t>
  </si>
  <si>
    <t>202409离网率</t>
  </si>
  <si>
    <t>10月数据</t>
  </si>
  <si>
    <t>202410用户数到达</t>
  </si>
  <si>
    <t>202410计费</t>
  </si>
  <si>
    <t>202410高速计费</t>
  </si>
  <si>
    <t>202410非高速计费</t>
  </si>
  <si>
    <t>202410等效计费</t>
  </si>
  <si>
    <t>202410等效计费净增</t>
  </si>
  <si>
    <t>202410计费率</t>
  </si>
  <si>
    <t>202410已激活</t>
  </si>
  <si>
    <t>202410活跃用户</t>
  </si>
  <si>
    <t>202410活跃率</t>
  </si>
  <si>
    <t>202410离网用户</t>
  </si>
  <si>
    <t>202410离网率</t>
  </si>
  <si>
    <t>11月数据</t>
  </si>
  <si>
    <t>202411用户数到达</t>
  </si>
  <si>
    <t>202411计费</t>
  </si>
  <si>
    <t>202411高速计费</t>
  </si>
  <si>
    <t>202411非高速计费</t>
  </si>
  <si>
    <t>202411等效计费</t>
  </si>
  <si>
    <t>202411等效计费净增</t>
  </si>
  <si>
    <t>202411计费率</t>
  </si>
  <si>
    <t>202411已激活</t>
  </si>
  <si>
    <t>202411活跃用户</t>
  </si>
  <si>
    <t>202411活跃率</t>
  </si>
  <si>
    <t>202411离网用户</t>
  </si>
  <si>
    <t>202411离网率</t>
  </si>
  <si>
    <t>12月数据</t>
  </si>
  <si>
    <t>202412用户数到达</t>
  </si>
  <si>
    <t>202412计费</t>
  </si>
  <si>
    <t>202412高速计费</t>
  </si>
  <si>
    <t>202412非高速计费</t>
  </si>
  <si>
    <t>202412等效计费</t>
  </si>
  <si>
    <t>202412等效计费净增</t>
  </si>
  <si>
    <t>202412计费率</t>
  </si>
  <si>
    <t>202412已激活</t>
  </si>
  <si>
    <t>202412活跃用户</t>
  </si>
  <si>
    <t>202412活跃率</t>
  </si>
  <si>
    <t>202412离网用户</t>
  </si>
  <si>
    <t>202412离网率</t>
  </si>
  <si>
    <t>202501用户数到达</t>
    <phoneticPr fontId="14" type="noConversion"/>
  </si>
  <si>
    <t>202501计费</t>
    <phoneticPr fontId="14" type="noConversion"/>
  </si>
  <si>
    <t>202501高速计费</t>
    <phoneticPr fontId="14" type="noConversion"/>
  </si>
  <si>
    <t>202501非高速计费</t>
    <phoneticPr fontId="14" type="noConversion"/>
  </si>
  <si>
    <t>202501等效计费</t>
    <phoneticPr fontId="14" type="noConversion"/>
  </si>
  <si>
    <t>202501等效计费净增</t>
    <phoneticPr fontId="14" type="noConversion"/>
  </si>
  <si>
    <t>202501计费率</t>
    <phoneticPr fontId="14" type="noConversion"/>
  </si>
  <si>
    <t>202501已激活</t>
    <phoneticPr fontId="14" type="noConversion"/>
  </si>
  <si>
    <t>202501活跃用户</t>
    <phoneticPr fontId="14" type="noConversion"/>
  </si>
  <si>
    <t>202501活跃率</t>
    <phoneticPr fontId="14" type="noConversion"/>
  </si>
  <si>
    <t>202501离网用户</t>
    <phoneticPr fontId="14" type="noConversion"/>
  </si>
  <si>
    <t>202501离网率</t>
    <phoneticPr fontId="14" type="noConversion"/>
  </si>
  <si>
    <t>1月数据</t>
    <phoneticPr fontId="14" type="noConversion"/>
  </si>
  <si>
    <t>202501计费净增</t>
    <phoneticPr fontId="14" type="noConversion"/>
  </si>
  <si>
    <t>2月数据</t>
    <phoneticPr fontId="14" type="noConversion"/>
  </si>
  <si>
    <t>202502用户数到达</t>
    <phoneticPr fontId="14" type="noConversion"/>
  </si>
  <si>
    <t>202502计费</t>
    <phoneticPr fontId="14" type="noConversion"/>
  </si>
  <si>
    <t>202502计费净增</t>
    <phoneticPr fontId="14" type="noConversion"/>
  </si>
  <si>
    <t>202502计费率</t>
    <phoneticPr fontId="14" type="noConversion"/>
  </si>
  <si>
    <t>202502已激活</t>
    <phoneticPr fontId="14" type="noConversion"/>
  </si>
  <si>
    <t>202502活跃用户</t>
    <phoneticPr fontId="14" type="noConversion"/>
  </si>
  <si>
    <t>202502活跃率</t>
    <phoneticPr fontId="14" type="noConversion"/>
  </si>
  <si>
    <t>202502离网用户</t>
    <phoneticPr fontId="14" type="noConversion"/>
  </si>
  <si>
    <t>202502离网率</t>
    <phoneticPr fontId="14" type="noConversion"/>
  </si>
  <si>
    <t>202502计费同比增加</t>
    <phoneticPr fontId="14" type="noConversion"/>
  </si>
  <si>
    <t>202402计费</t>
    <phoneticPr fontId="14" type="noConversion"/>
  </si>
  <si>
    <t>202502计费同比增加百分比</t>
    <phoneticPr fontId="14" type="noConversion"/>
  </si>
  <si>
    <t>3月数据</t>
    <phoneticPr fontId="14" type="noConversion"/>
  </si>
  <si>
    <t>202503用户数到达</t>
    <phoneticPr fontId="14" type="noConversion"/>
  </si>
  <si>
    <t>202503计费</t>
    <phoneticPr fontId="14" type="noConversion"/>
  </si>
  <si>
    <t>202503计费净增</t>
    <phoneticPr fontId="14" type="noConversion"/>
  </si>
  <si>
    <t>202403计费</t>
    <phoneticPr fontId="14" type="noConversion"/>
  </si>
  <si>
    <t>202503计费同比增加</t>
    <phoneticPr fontId="14" type="noConversion"/>
  </si>
  <si>
    <t>202503计费同比增加百分比</t>
    <phoneticPr fontId="14" type="noConversion"/>
  </si>
  <si>
    <t>202503计费率</t>
    <phoneticPr fontId="14" type="noConversion"/>
  </si>
  <si>
    <t>202503已激活</t>
    <phoneticPr fontId="14" type="noConversion"/>
  </si>
  <si>
    <t>202503活跃用户</t>
    <phoneticPr fontId="14" type="noConversion"/>
  </si>
  <si>
    <t>202503活跃率</t>
    <phoneticPr fontId="14" type="noConversion"/>
  </si>
  <si>
    <t>202503离网用户</t>
    <phoneticPr fontId="14" type="noConversion"/>
  </si>
  <si>
    <t>202503离网率</t>
    <phoneticPr fontId="14" type="noConversion"/>
  </si>
  <si>
    <t>地市</t>
    <phoneticPr fontId="14" type="noConversion"/>
  </si>
  <si>
    <t>4月数据</t>
    <phoneticPr fontId="14" type="noConversion"/>
  </si>
  <si>
    <t>202504用户数到达</t>
    <phoneticPr fontId="14" type="noConversion"/>
  </si>
  <si>
    <t>202504计费</t>
    <phoneticPr fontId="14" type="noConversion"/>
  </si>
  <si>
    <t>202504计费净增</t>
    <phoneticPr fontId="14" type="noConversion"/>
  </si>
  <si>
    <t>202404计费</t>
    <phoneticPr fontId="14" type="noConversion"/>
  </si>
  <si>
    <t>202504计费同比增加</t>
    <phoneticPr fontId="14" type="noConversion"/>
  </si>
  <si>
    <t>202504计费同比增加百分比</t>
    <phoneticPr fontId="14" type="noConversion"/>
  </si>
  <si>
    <t>202504计费率</t>
    <phoneticPr fontId="14" type="noConversion"/>
  </si>
  <si>
    <t>202504已激活</t>
    <phoneticPr fontId="14" type="noConversion"/>
  </si>
  <si>
    <t>202504活跃用户</t>
    <phoneticPr fontId="14" type="noConversion"/>
  </si>
  <si>
    <t>202504离网用户</t>
    <phoneticPr fontId="14" type="noConversion"/>
  </si>
  <si>
    <t>202504离网率</t>
    <phoneticPr fontId="14" type="noConversion"/>
  </si>
  <si>
    <t>202504活跃率</t>
    <phoneticPr fontId="14" type="noConversion"/>
  </si>
  <si>
    <t>5月数据</t>
    <phoneticPr fontId="14" type="noConversion"/>
  </si>
  <si>
    <t>202505用户数到达</t>
    <phoneticPr fontId="14" type="noConversion"/>
  </si>
  <si>
    <t>202505计费</t>
    <phoneticPr fontId="14" type="noConversion"/>
  </si>
  <si>
    <t>202505计费净增</t>
    <phoneticPr fontId="14" type="noConversion"/>
  </si>
  <si>
    <t>202405计费</t>
    <phoneticPr fontId="14" type="noConversion"/>
  </si>
  <si>
    <t>202505计费同比增加</t>
    <phoneticPr fontId="14" type="noConversion"/>
  </si>
  <si>
    <t>202505计费同比增加百分比</t>
    <phoneticPr fontId="14" type="noConversion"/>
  </si>
  <si>
    <t>202505计费率</t>
    <phoneticPr fontId="14" type="noConversion"/>
  </si>
  <si>
    <t>202505已激活</t>
    <phoneticPr fontId="14" type="noConversion"/>
  </si>
  <si>
    <t>202505活跃用户</t>
    <phoneticPr fontId="14" type="noConversion"/>
  </si>
  <si>
    <t>202505活跃率</t>
    <phoneticPr fontId="14" type="noConversion"/>
  </si>
  <si>
    <t>202505离网用户</t>
    <phoneticPr fontId="14" type="noConversion"/>
  </si>
  <si>
    <t>202505离网率</t>
    <phoneticPr fontId="14" type="noConversion"/>
  </si>
  <si>
    <t>6月数据</t>
    <phoneticPr fontId="14" type="noConversion"/>
  </si>
  <si>
    <t>202506用户数到达</t>
    <phoneticPr fontId="14" type="noConversion"/>
  </si>
  <si>
    <t>202506计费</t>
    <phoneticPr fontId="14" type="noConversion"/>
  </si>
  <si>
    <t>202506计费净增</t>
    <phoneticPr fontId="14" type="noConversion"/>
  </si>
  <si>
    <t>202406计费</t>
    <phoneticPr fontId="14" type="noConversion"/>
  </si>
  <si>
    <t>202506计费同比增加</t>
    <phoneticPr fontId="14" type="noConversion"/>
  </si>
  <si>
    <t>202506计费率</t>
    <phoneticPr fontId="14" type="noConversion"/>
  </si>
  <si>
    <t>202506已激活</t>
    <phoneticPr fontId="14" type="noConversion"/>
  </si>
  <si>
    <t>202506活跃用户</t>
    <phoneticPr fontId="14" type="noConversion"/>
  </si>
  <si>
    <t>202506离网用户</t>
    <phoneticPr fontId="14" type="noConversion"/>
  </si>
  <si>
    <t>202506计费同比增加百分比</t>
    <phoneticPr fontId="14" type="noConversion"/>
  </si>
  <si>
    <t>202506活跃率</t>
    <phoneticPr fontId="14" type="noConversion"/>
  </si>
  <si>
    <t>202506离网率</t>
    <phoneticPr fontId="14" type="noConversion"/>
  </si>
  <si>
    <t>7月数据</t>
    <phoneticPr fontId="14" type="noConversion"/>
  </si>
  <si>
    <t>202507用户数到达</t>
    <phoneticPr fontId="14" type="noConversion"/>
  </si>
  <si>
    <t>202507计费</t>
    <phoneticPr fontId="14" type="noConversion"/>
  </si>
  <si>
    <t>202507计费净增</t>
    <phoneticPr fontId="14" type="noConversion"/>
  </si>
  <si>
    <t>202407计费</t>
    <phoneticPr fontId="14" type="noConversion"/>
  </si>
  <si>
    <t>202507计费同比增加百分比</t>
    <phoneticPr fontId="14" type="noConversion"/>
  </si>
  <si>
    <t>202507计费同比增加</t>
    <phoneticPr fontId="14" type="noConversion"/>
  </si>
  <si>
    <t>202507计费率</t>
    <phoneticPr fontId="14" type="noConversion"/>
  </si>
  <si>
    <t>202507已激活</t>
    <phoneticPr fontId="14" type="noConversion"/>
  </si>
  <si>
    <t>202507活跃用户</t>
    <phoneticPr fontId="14" type="noConversion"/>
  </si>
  <si>
    <t>202507离网用户</t>
    <phoneticPr fontId="14" type="noConversion"/>
  </si>
  <si>
    <t>202507离网率</t>
    <phoneticPr fontId="14" type="noConversion"/>
  </si>
  <si>
    <t>202507活跃率</t>
    <phoneticPr fontId="14" type="noConversion"/>
  </si>
  <si>
    <t>8月数据</t>
    <phoneticPr fontId="14" type="noConversion"/>
  </si>
  <si>
    <t>202508用户数到达</t>
    <phoneticPr fontId="14" type="noConversion"/>
  </si>
  <si>
    <t>202508计费</t>
    <phoneticPr fontId="14" type="noConversion"/>
  </si>
  <si>
    <t>202508计费净增</t>
    <phoneticPr fontId="14" type="noConversion"/>
  </si>
  <si>
    <t>202408计费</t>
    <phoneticPr fontId="14" type="noConversion"/>
  </si>
  <si>
    <t>202508计费同比增加</t>
    <phoneticPr fontId="14" type="noConversion"/>
  </si>
  <si>
    <t>202508计费同比增加百分比</t>
    <phoneticPr fontId="14" type="noConversion"/>
  </si>
  <si>
    <t>202508计费率</t>
    <phoneticPr fontId="14" type="noConversion"/>
  </si>
  <si>
    <t>202508已激活</t>
    <phoneticPr fontId="14" type="noConversion"/>
  </si>
  <si>
    <t>202508活跃用户</t>
    <phoneticPr fontId="14" type="noConversion"/>
  </si>
  <si>
    <t>202508活跃率</t>
    <phoneticPr fontId="14" type="noConversion"/>
  </si>
  <si>
    <t>202508离网用户</t>
    <phoneticPr fontId="14" type="noConversion"/>
  </si>
  <si>
    <t>202508离网率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</si>
</sst>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17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000000"/>
      <name val="Calibri"/>
      <family val="2"/>
    </font>
    <font>
      <b/>
      <sz val="10"/>
      <name val="等线"/>
      <family val="3"/>
      <charset val="134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sz val="9"/>
      <color rgb="FF000000"/>
      <name val="simhei"/>
      <family val="3"/>
    </font>
    <font>
      <b/>
      <sz val="9"/>
      <color rgb="FF000000"/>
      <name val="simhei"/>
      <family val="3"/>
    </font>
    <font>
      <sz val="10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sz val="9"/>
      <color rgb="FF000000"/>
      <name val="simhei"/>
      <family val="3"/>
      <charset val="134"/>
    </font>
    <font>
      <b/>
      <sz val="9"/>
      <color rgb="FF000000"/>
      <name val="simhei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" fillId="0" borderId="0" xfId="0" applyFont="1"/>
    <xf numFmtId="0" fontId="16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0" fontId="9" fillId="0" borderId="6" xfId="0" applyNumberFormat="1" applyFont="1" applyBorder="1" applyAlignment="1">
      <alignment horizontal="center" vertical="center" wrapText="1"/>
    </xf>
    <xf numFmtId="10" fontId="5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0" fontId="8" fillId="0" borderId="6" xfId="0" applyNumberFormat="1" applyFont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10" fontId="8" fillId="0" borderId="6" xfId="0" applyNumberFormat="1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0" fontId="9" fillId="0" borderId="6" xfId="0" applyNumberFormat="1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10" fontId="9" fillId="0" borderId="2" xfId="0" applyNumberFormat="1" applyFont="1" applyBorder="1" applyAlignment="1">
      <alignment horizontal="center" vertical="center" wrapText="1"/>
    </xf>
    <xf numFmtId="10" fontId="9" fillId="0" borderId="4" xfId="0" applyNumberFormat="1" applyFont="1" applyBorder="1" applyAlignment="1">
      <alignment horizontal="center" vertical="center" wrapText="1"/>
    </xf>
    <xf numFmtId="10" fontId="8" fillId="0" borderId="2" xfId="0" applyNumberFormat="1" applyFont="1" applyBorder="1" applyAlignment="1">
      <alignment horizontal="center" vertical="center"/>
    </xf>
    <xf numFmtId="10" fontId="8" fillId="0" borderId="4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8"/>
  <sheetViews>
    <sheetView topLeftCell="A22" zoomScale="115" zoomScaleNormal="115" workbookViewId="0">
      <selection activeCell="H31" sqref="H31:H41"/>
    </sheetView>
  </sheetViews>
  <sheetFormatPr defaultColWidth="8.58203125" defaultRowHeight="14"/>
  <cols>
    <col min="1" max="1" width="5.75" style="3" customWidth="1"/>
    <col min="2" max="2" width="8.83203125" style="3" customWidth="1"/>
    <col min="3" max="3" width="8.33203125" style="3" customWidth="1"/>
    <col min="4" max="4" width="8.5" style="3" customWidth="1"/>
    <col min="5" max="5" width="8.33203125" style="3" customWidth="1"/>
    <col min="6" max="7" width="9.33203125" style="3" customWidth="1"/>
    <col min="8" max="8" width="9" style="3" customWidth="1"/>
    <col min="9" max="9" width="8.33203125" style="3" customWidth="1"/>
    <col min="10" max="10" width="8.5" style="3" customWidth="1"/>
    <col min="11" max="11" width="8.33203125" style="4" customWidth="1"/>
    <col min="12" max="12" width="10" style="3" customWidth="1"/>
    <col min="13" max="13" width="8.33203125" style="3" customWidth="1"/>
    <col min="14" max="15" width="8.83203125" style="3" customWidth="1"/>
    <col min="16" max="16" width="8.33203125" style="5" customWidth="1"/>
    <col min="17" max="18" width="8.33203125" style="3" customWidth="1"/>
    <col min="19" max="19" width="8.58203125" style="4" customWidth="1"/>
    <col min="20" max="21" width="8.58203125" style="3" customWidth="1"/>
    <col min="22" max="22" width="8.58203125" style="4" customWidth="1"/>
    <col min="23" max="23" width="9.75" style="6" customWidth="1"/>
    <col min="24" max="24" width="10.5" style="6" customWidth="1"/>
    <col min="25" max="25" width="8.58203125" style="5" customWidth="1"/>
    <col min="26" max="26" width="10.33203125" style="6" customWidth="1"/>
    <col min="27" max="27" width="8.58203125" style="6"/>
    <col min="28" max="28" width="8.58203125" style="3"/>
    <col min="29" max="29" width="8.58203125" style="6"/>
    <col min="30" max="16384" width="8.58203125" style="3"/>
  </cols>
  <sheetData>
    <row r="1" spans="1:18" ht="14.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spans="1:18" s="1" customFormat="1" ht="26">
      <c r="A2" s="7" t="s">
        <v>1</v>
      </c>
      <c r="B2" s="8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8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4" t="s">
        <v>16</v>
      </c>
      <c r="Q2" s="16" t="s">
        <v>17</v>
      </c>
      <c r="R2" s="14" t="s">
        <v>18</v>
      </c>
    </row>
    <row r="3" spans="1:18">
      <c r="A3" s="9" t="s">
        <v>19</v>
      </c>
      <c r="B3" s="10">
        <v>901972</v>
      </c>
      <c r="C3" s="9">
        <v>21711</v>
      </c>
      <c r="D3" s="9">
        <f>B3-C3</f>
        <v>880261</v>
      </c>
      <c r="E3" s="10">
        <f>C3+D3/8</f>
        <v>131743.625</v>
      </c>
      <c r="F3" s="11">
        <v>3494843</v>
      </c>
      <c r="G3" s="11">
        <v>3847227</v>
      </c>
      <c r="H3" s="11">
        <v>884208</v>
      </c>
      <c r="I3" s="9">
        <v>10792</v>
      </c>
      <c r="J3" s="9">
        <f t="shared" ref="J3:J13" si="0">H3-I3</f>
        <v>873416</v>
      </c>
      <c r="K3" s="10">
        <f t="shared" ref="K3:K13" si="1">I3+J3/8</f>
        <v>119969</v>
      </c>
      <c r="L3" s="10">
        <f t="shared" ref="L3:L13" si="2">K3-E3</f>
        <v>-11774.625</v>
      </c>
      <c r="M3" s="17">
        <f t="shared" ref="M3:M14" si="3">H3/G3</f>
        <v>0.22982995284655675</v>
      </c>
      <c r="N3" s="10">
        <v>1522006</v>
      </c>
      <c r="O3" s="10">
        <v>538627</v>
      </c>
      <c r="P3" s="17">
        <f>O3/N3</f>
        <v>0.35389282302435077</v>
      </c>
      <c r="Q3" s="9">
        <v>61770</v>
      </c>
      <c r="R3" s="17">
        <f t="shared" ref="R3:R14" si="4">Q3/F3</f>
        <v>1.7674613709399822E-2</v>
      </c>
    </row>
    <row r="4" spans="1:18">
      <c r="A4" s="9" t="s">
        <v>20</v>
      </c>
      <c r="B4" s="10">
        <v>10722588</v>
      </c>
      <c r="C4" s="9">
        <v>566586</v>
      </c>
      <c r="D4" s="9">
        <f t="shared" ref="D4:D13" si="5">B4-C4</f>
        <v>10156002</v>
      </c>
      <c r="E4" s="10">
        <f t="shared" ref="E4:E13" si="6">C4+D4/8</f>
        <v>1836086.25</v>
      </c>
      <c r="F4" s="11">
        <v>32881848</v>
      </c>
      <c r="G4" s="11">
        <v>33761672</v>
      </c>
      <c r="H4" s="11">
        <v>10498032</v>
      </c>
      <c r="I4" s="9">
        <v>743283</v>
      </c>
      <c r="J4" s="9">
        <f t="shared" si="0"/>
        <v>9754749</v>
      </c>
      <c r="K4" s="10">
        <f t="shared" si="1"/>
        <v>1962626.625</v>
      </c>
      <c r="L4" s="10">
        <f t="shared" si="2"/>
        <v>126540.375</v>
      </c>
      <c r="M4" s="17">
        <f t="shared" si="3"/>
        <v>0.31094526361135194</v>
      </c>
      <c r="N4" s="10">
        <v>12103096</v>
      </c>
      <c r="O4" s="10">
        <v>6546168</v>
      </c>
      <c r="P4" s="17">
        <f t="shared" ref="P4:P14" si="7">O4/N4</f>
        <v>0.54086722934363241</v>
      </c>
      <c r="Q4" s="9">
        <v>245796</v>
      </c>
      <c r="R4" s="17">
        <f t="shared" si="4"/>
        <v>7.4751273103628481E-3</v>
      </c>
    </row>
    <row r="5" spans="1:18">
      <c r="A5" s="9" t="s">
        <v>21</v>
      </c>
      <c r="B5" s="10">
        <v>2013821</v>
      </c>
      <c r="C5" s="9">
        <v>51111</v>
      </c>
      <c r="D5" s="9">
        <f t="shared" si="5"/>
        <v>1962710</v>
      </c>
      <c r="E5" s="10">
        <f t="shared" si="6"/>
        <v>296449.75</v>
      </c>
      <c r="F5" s="11">
        <v>7179633</v>
      </c>
      <c r="G5" s="11">
        <v>7156377</v>
      </c>
      <c r="H5" s="11">
        <v>3254185</v>
      </c>
      <c r="I5" s="9">
        <v>25876</v>
      </c>
      <c r="J5" s="9">
        <f t="shared" si="0"/>
        <v>3228309</v>
      </c>
      <c r="K5" s="10">
        <f t="shared" si="1"/>
        <v>429414.625</v>
      </c>
      <c r="L5" s="10">
        <f t="shared" si="2"/>
        <v>132964.875</v>
      </c>
      <c r="M5" s="17">
        <f t="shared" si="3"/>
        <v>0.45472520522605225</v>
      </c>
      <c r="N5" s="10">
        <v>5155226</v>
      </c>
      <c r="O5" s="10">
        <v>1837302</v>
      </c>
      <c r="P5" s="17">
        <f t="shared" si="7"/>
        <v>0.3563960144521307</v>
      </c>
      <c r="Q5" s="9">
        <v>99439</v>
      </c>
      <c r="R5" s="17">
        <f t="shared" si="4"/>
        <v>1.385015083640069E-2</v>
      </c>
    </row>
    <row r="6" spans="1:18">
      <c r="A6" s="9" t="s">
        <v>22</v>
      </c>
      <c r="B6" s="10">
        <v>1786753</v>
      </c>
      <c r="C6" s="9">
        <v>17230</v>
      </c>
      <c r="D6" s="9">
        <f t="shared" si="5"/>
        <v>1769523</v>
      </c>
      <c r="E6" s="10">
        <f t="shared" si="6"/>
        <v>238420.375</v>
      </c>
      <c r="F6" s="11">
        <v>7658271</v>
      </c>
      <c r="G6" s="11">
        <v>8018419</v>
      </c>
      <c r="H6" s="11">
        <v>2055811</v>
      </c>
      <c r="I6" s="9">
        <v>37544</v>
      </c>
      <c r="J6" s="9">
        <f t="shared" si="0"/>
        <v>2018267</v>
      </c>
      <c r="K6" s="10">
        <f t="shared" si="1"/>
        <v>289827.375</v>
      </c>
      <c r="L6" s="10">
        <f t="shared" si="2"/>
        <v>51407</v>
      </c>
      <c r="M6" s="17">
        <f t="shared" si="3"/>
        <v>0.25638607810342662</v>
      </c>
      <c r="N6" s="10">
        <v>5381346</v>
      </c>
      <c r="O6" s="10">
        <v>1108054</v>
      </c>
      <c r="P6" s="17">
        <f t="shared" si="7"/>
        <v>0.205906477673058</v>
      </c>
      <c r="Q6" s="9">
        <v>101740</v>
      </c>
      <c r="R6" s="17">
        <f t="shared" si="4"/>
        <v>1.328498299420326E-2</v>
      </c>
    </row>
    <row r="7" spans="1:18">
      <c r="A7" s="9" t="s">
        <v>23</v>
      </c>
      <c r="B7" s="10">
        <v>4586610</v>
      </c>
      <c r="C7" s="9">
        <v>76827</v>
      </c>
      <c r="D7" s="9">
        <f t="shared" si="5"/>
        <v>4509783</v>
      </c>
      <c r="E7" s="10">
        <f t="shared" si="6"/>
        <v>640549.875</v>
      </c>
      <c r="F7" s="11">
        <v>19618386</v>
      </c>
      <c r="G7" s="11">
        <v>19803060</v>
      </c>
      <c r="H7" s="11">
        <v>6306012</v>
      </c>
      <c r="I7" s="9">
        <v>94803</v>
      </c>
      <c r="J7" s="9">
        <f t="shared" si="0"/>
        <v>6211209</v>
      </c>
      <c r="K7" s="10">
        <f t="shared" si="1"/>
        <v>871204.125</v>
      </c>
      <c r="L7" s="10">
        <f t="shared" si="2"/>
        <v>230654.25</v>
      </c>
      <c r="M7" s="17">
        <f t="shared" si="3"/>
        <v>0.31843624167174162</v>
      </c>
      <c r="N7" s="10">
        <v>11456678</v>
      </c>
      <c r="O7" s="10">
        <v>4210302</v>
      </c>
      <c r="P7" s="17">
        <f t="shared" si="7"/>
        <v>0.3674976288938207</v>
      </c>
      <c r="Q7" s="9">
        <v>138966</v>
      </c>
      <c r="R7" s="17">
        <f t="shared" si="4"/>
        <v>7.0834573241651986E-3</v>
      </c>
    </row>
    <row r="8" spans="1:18">
      <c r="A8" s="9" t="s">
        <v>24</v>
      </c>
      <c r="B8" s="10">
        <v>760323</v>
      </c>
      <c r="C8" s="9">
        <v>5400</v>
      </c>
      <c r="D8" s="9">
        <f t="shared" si="5"/>
        <v>754923</v>
      </c>
      <c r="E8" s="10">
        <f t="shared" si="6"/>
        <v>99765.375</v>
      </c>
      <c r="F8" s="11">
        <v>8723460</v>
      </c>
      <c r="G8" s="11">
        <v>8508880</v>
      </c>
      <c r="H8" s="11">
        <v>1053467</v>
      </c>
      <c r="I8" s="9">
        <v>35009</v>
      </c>
      <c r="J8" s="9">
        <f t="shared" si="0"/>
        <v>1018458</v>
      </c>
      <c r="K8" s="10">
        <f t="shared" si="1"/>
        <v>162316.25</v>
      </c>
      <c r="L8" s="10">
        <f t="shared" si="2"/>
        <v>62550.875</v>
      </c>
      <c r="M8" s="17">
        <f t="shared" si="3"/>
        <v>0.12380795122272262</v>
      </c>
      <c r="N8" s="10">
        <v>4282415</v>
      </c>
      <c r="O8" s="10">
        <v>514553</v>
      </c>
      <c r="P8" s="17">
        <f t="shared" si="7"/>
        <v>0.12015486588758913</v>
      </c>
      <c r="Q8" s="9">
        <v>232776</v>
      </c>
      <c r="R8" s="17">
        <f t="shared" si="4"/>
        <v>2.6683907532103087E-2</v>
      </c>
    </row>
    <row r="9" spans="1:18">
      <c r="A9" s="9" t="s">
        <v>25</v>
      </c>
      <c r="B9" s="10">
        <v>3880521</v>
      </c>
      <c r="C9" s="9">
        <v>18998</v>
      </c>
      <c r="D9" s="9">
        <f t="shared" si="5"/>
        <v>3861523</v>
      </c>
      <c r="E9" s="10">
        <f t="shared" si="6"/>
        <v>501688.375</v>
      </c>
      <c r="F9" s="11">
        <v>13329253</v>
      </c>
      <c r="G9" s="11">
        <v>13479266</v>
      </c>
      <c r="H9" s="11">
        <v>3347822</v>
      </c>
      <c r="I9" s="9">
        <v>41821</v>
      </c>
      <c r="J9" s="9">
        <f t="shared" si="0"/>
        <v>3306001</v>
      </c>
      <c r="K9" s="10">
        <f t="shared" si="1"/>
        <v>455071.125</v>
      </c>
      <c r="L9" s="10">
        <f t="shared" si="2"/>
        <v>-46617.25</v>
      </c>
      <c r="M9" s="17">
        <f t="shared" si="3"/>
        <v>0.2483682716848232</v>
      </c>
      <c r="N9" s="10">
        <v>7203563</v>
      </c>
      <c r="O9" s="10">
        <v>1963545</v>
      </c>
      <c r="P9" s="17">
        <f t="shared" si="7"/>
        <v>0.2725796942429739</v>
      </c>
      <c r="Q9" s="9">
        <v>121028</v>
      </c>
      <c r="R9" s="17">
        <f t="shared" si="4"/>
        <v>9.0798786698699473E-3</v>
      </c>
    </row>
    <row r="10" spans="1:18">
      <c r="A10" s="9" t="s">
        <v>26</v>
      </c>
      <c r="B10" s="10">
        <v>9944813</v>
      </c>
      <c r="C10" s="9">
        <v>56982</v>
      </c>
      <c r="D10" s="9">
        <f t="shared" si="5"/>
        <v>9887831</v>
      </c>
      <c r="E10" s="10">
        <f t="shared" si="6"/>
        <v>1292960.875</v>
      </c>
      <c r="F10" s="11">
        <v>25857294</v>
      </c>
      <c r="G10" s="11">
        <v>25757211</v>
      </c>
      <c r="H10" s="11">
        <v>10768159</v>
      </c>
      <c r="I10" s="9">
        <v>63338</v>
      </c>
      <c r="J10" s="9">
        <f t="shared" si="0"/>
        <v>10704821</v>
      </c>
      <c r="K10" s="10">
        <f t="shared" si="1"/>
        <v>1401440.625</v>
      </c>
      <c r="L10" s="10">
        <f t="shared" si="2"/>
        <v>108479.75</v>
      </c>
      <c r="M10" s="17">
        <f t="shared" si="3"/>
        <v>0.41806385792312684</v>
      </c>
      <c r="N10" s="10">
        <v>14548546</v>
      </c>
      <c r="O10" s="10">
        <v>6890780</v>
      </c>
      <c r="P10" s="17">
        <f t="shared" si="7"/>
        <v>0.47364045864102161</v>
      </c>
      <c r="Q10" s="9">
        <v>173182</v>
      </c>
      <c r="R10" s="17">
        <f t="shared" si="4"/>
        <v>6.6976072592901635E-3</v>
      </c>
    </row>
    <row r="11" spans="1:18">
      <c r="A11" s="9" t="s">
        <v>27</v>
      </c>
      <c r="B11" s="10">
        <v>850721</v>
      </c>
      <c r="C11" s="9">
        <v>6857</v>
      </c>
      <c r="D11" s="9">
        <f t="shared" si="5"/>
        <v>843864</v>
      </c>
      <c r="E11" s="10">
        <f t="shared" si="6"/>
        <v>112340</v>
      </c>
      <c r="F11" s="11">
        <v>3260198</v>
      </c>
      <c r="G11" s="11">
        <v>3416953</v>
      </c>
      <c r="H11" s="11">
        <v>1140743</v>
      </c>
      <c r="I11" s="9">
        <v>20735</v>
      </c>
      <c r="J11" s="9">
        <f t="shared" si="0"/>
        <v>1120008</v>
      </c>
      <c r="K11" s="10">
        <f t="shared" si="1"/>
        <v>160736</v>
      </c>
      <c r="L11" s="10">
        <f t="shared" si="2"/>
        <v>48396</v>
      </c>
      <c r="M11" s="17">
        <f t="shared" si="3"/>
        <v>0.33384802190723722</v>
      </c>
      <c r="N11" s="10">
        <v>1920116</v>
      </c>
      <c r="O11" s="10">
        <v>734176</v>
      </c>
      <c r="P11" s="17">
        <f t="shared" si="7"/>
        <v>0.38236023240262568</v>
      </c>
      <c r="Q11" s="9">
        <v>15437</v>
      </c>
      <c r="R11" s="17">
        <f t="shared" si="4"/>
        <v>4.7349884884292301E-3</v>
      </c>
    </row>
    <row r="12" spans="1:18">
      <c r="A12" s="9" t="s">
        <v>28</v>
      </c>
      <c r="B12" s="10">
        <v>5226483</v>
      </c>
      <c r="C12" s="9">
        <v>102036</v>
      </c>
      <c r="D12" s="9">
        <f t="shared" si="5"/>
        <v>5124447</v>
      </c>
      <c r="E12" s="10">
        <f t="shared" si="6"/>
        <v>742591.875</v>
      </c>
      <c r="F12" s="11">
        <v>13863242</v>
      </c>
      <c r="G12" s="11">
        <v>14132241</v>
      </c>
      <c r="H12" s="11">
        <v>6756439</v>
      </c>
      <c r="I12" s="9">
        <v>61070</v>
      </c>
      <c r="J12" s="9">
        <f t="shared" si="0"/>
        <v>6695369</v>
      </c>
      <c r="K12" s="10">
        <f t="shared" si="1"/>
        <v>897991.125</v>
      </c>
      <c r="L12" s="10">
        <f t="shared" si="2"/>
        <v>155399.25</v>
      </c>
      <c r="M12" s="17">
        <f t="shared" si="3"/>
        <v>0.47808687949773854</v>
      </c>
      <c r="N12" s="10">
        <v>9260743</v>
      </c>
      <c r="O12" s="10">
        <v>3501263</v>
      </c>
      <c r="P12" s="17">
        <f t="shared" si="7"/>
        <v>0.37807581961836106</v>
      </c>
      <c r="Q12" s="9">
        <v>51233</v>
      </c>
      <c r="R12" s="17">
        <f t="shared" si="4"/>
        <v>3.6956002066471897E-3</v>
      </c>
    </row>
    <row r="13" spans="1:18">
      <c r="A13" s="9" t="s">
        <v>29</v>
      </c>
      <c r="B13" s="10">
        <v>334922</v>
      </c>
      <c r="C13" s="9">
        <v>4596</v>
      </c>
      <c r="D13" s="9">
        <f t="shared" si="5"/>
        <v>330326</v>
      </c>
      <c r="E13" s="10">
        <f t="shared" si="6"/>
        <v>45886.75</v>
      </c>
      <c r="F13" s="11">
        <v>2573373</v>
      </c>
      <c r="G13" s="11">
        <v>2568405</v>
      </c>
      <c r="H13" s="11">
        <v>312815</v>
      </c>
      <c r="I13" s="9">
        <v>12565</v>
      </c>
      <c r="J13" s="9">
        <f t="shared" si="0"/>
        <v>300250</v>
      </c>
      <c r="K13" s="10">
        <f t="shared" si="1"/>
        <v>50096.25</v>
      </c>
      <c r="L13" s="10">
        <f t="shared" si="2"/>
        <v>4209.5</v>
      </c>
      <c r="M13" s="17">
        <f t="shared" si="3"/>
        <v>0.12179348661912744</v>
      </c>
      <c r="N13" s="10">
        <v>946237</v>
      </c>
      <c r="O13" s="10">
        <v>129421</v>
      </c>
      <c r="P13" s="17">
        <f t="shared" si="7"/>
        <v>0.13677440218465353</v>
      </c>
      <c r="Q13" s="9">
        <v>6874</v>
      </c>
      <c r="R13" s="17">
        <f t="shared" si="4"/>
        <v>2.6712023480467075E-3</v>
      </c>
    </row>
    <row r="14" spans="1:18" s="2" customFormat="1">
      <c r="A14" s="12" t="s">
        <v>30</v>
      </c>
      <c r="B14" s="13">
        <f t="shared" ref="B14:K14" si="8">SUM(B3:B13)</f>
        <v>41009527</v>
      </c>
      <c r="C14" s="12">
        <f t="shared" si="8"/>
        <v>928334</v>
      </c>
      <c r="D14" s="12">
        <f t="shared" si="8"/>
        <v>40081193</v>
      </c>
      <c r="E14" s="13">
        <f t="shared" si="8"/>
        <v>5938483.125</v>
      </c>
      <c r="F14" s="12">
        <f t="shared" si="8"/>
        <v>138439801</v>
      </c>
      <c r="G14" s="12">
        <f t="shared" si="8"/>
        <v>140449711</v>
      </c>
      <c r="H14" s="12">
        <f t="shared" si="8"/>
        <v>46377693</v>
      </c>
      <c r="I14" s="12">
        <f t="shared" si="8"/>
        <v>1146836</v>
      </c>
      <c r="J14" s="12">
        <f t="shared" si="8"/>
        <v>45230857</v>
      </c>
      <c r="K14" s="13">
        <f t="shared" si="8"/>
        <v>6800693.125</v>
      </c>
      <c r="L14" s="12">
        <f t="shared" ref="L14" si="9">SUM(L3:L13)</f>
        <v>862210</v>
      </c>
      <c r="M14" s="18">
        <f t="shared" si="3"/>
        <v>0.33020853278936257</v>
      </c>
      <c r="N14" s="13">
        <f>SUM(N3:N13)</f>
        <v>73779972</v>
      </c>
      <c r="O14" s="13">
        <f>SUM(O3:O13)</f>
        <v>27974191</v>
      </c>
      <c r="P14" s="18">
        <f t="shared" si="7"/>
        <v>0.37915697501213474</v>
      </c>
      <c r="Q14" s="13">
        <f>SUM(Q3:Q13)</f>
        <v>1248241</v>
      </c>
      <c r="R14" s="18">
        <f t="shared" si="4"/>
        <v>9.0164894126075774E-3</v>
      </c>
    </row>
    <row r="15" spans="1:18" s="2" customFormat="1" ht="14.5">
      <c r="A15" s="41" t="s">
        <v>31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</row>
    <row r="16" spans="1:18" ht="26">
      <c r="A16" s="42" t="s">
        <v>1</v>
      </c>
      <c r="B16" s="43"/>
      <c r="C16" s="43"/>
      <c r="D16" s="43"/>
      <c r="E16" s="43"/>
      <c r="F16" s="44"/>
      <c r="G16" s="14" t="s">
        <v>32</v>
      </c>
      <c r="H16" s="14" t="s">
        <v>33</v>
      </c>
      <c r="I16" s="14" t="s">
        <v>34</v>
      </c>
      <c r="J16" s="14" t="s">
        <v>35</v>
      </c>
      <c r="K16" s="14" t="s">
        <v>36</v>
      </c>
      <c r="L16" s="14" t="s">
        <v>37</v>
      </c>
      <c r="M16" s="14" t="s">
        <v>38</v>
      </c>
      <c r="N16" s="14" t="s">
        <v>39</v>
      </c>
      <c r="O16" s="14" t="s">
        <v>40</v>
      </c>
      <c r="P16" s="14" t="s">
        <v>41</v>
      </c>
      <c r="Q16" s="14" t="s">
        <v>42</v>
      </c>
      <c r="R16" s="14" t="s">
        <v>43</v>
      </c>
    </row>
    <row r="17" spans="1:18">
      <c r="A17" s="45" t="s">
        <v>19</v>
      </c>
      <c r="B17" s="46"/>
      <c r="C17" s="46"/>
      <c r="D17" s="46"/>
      <c r="E17" s="46"/>
      <c r="F17" s="47"/>
      <c r="G17" s="11">
        <v>3964469</v>
      </c>
      <c r="H17" s="11">
        <v>904781</v>
      </c>
      <c r="I17" s="9">
        <v>11600</v>
      </c>
      <c r="J17" s="9">
        <f t="shared" ref="J17:J27" si="10">H17-I17</f>
        <v>893181</v>
      </c>
      <c r="K17" s="19">
        <f>I17+J17/8</f>
        <v>123247.625</v>
      </c>
      <c r="L17" s="10">
        <f t="shared" ref="L17:L27" si="11">K17-E3</f>
        <v>-8496</v>
      </c>
      <c r="M17" s="17">
        <f>H17/G17</f>
        <v>0.22822249335282985</v>
      </c>
      <c r="N17" s="10">
        <v>1543713</v>
      </c>
      <c r="O17" s="9">
        <v>591375</v>
      </c>
      <c r="P17" s="17">
        <f>O17/N17</f>
        <v>0.38308610473578963</v>
      </c>
      <c r="Q17" s="9">
        <v>20620</v>
      </c>
      <c r="R17" s="17">
        <f t="shared" ref="R17:R28" si="12">Q17/G3</f>
        <v>5.3597045352405774E-3</v>
      </c>
    </row>
    <row r="18" spans="1:18">
      <c r="A18" s="45" t="s">
        <v>20</v>
      </c>
      <c r="B18" s="46"/>
      <c r="C18" s="46"/>
      <c r="D18" s="46"/>
      <c r="E18" s="46"/>
      <c r="F18" s="47"/>
      <c r="G18" s="11">
        <v>33715848</v>
      </c>
      <c r="H18" s="11">
        <v>10813182</v>
      </c>
      <c r="I18" s="9">
        <v>908786</v>
      </c>
      <c r="J18" s="9">
        <f t="shared" si="10"/>
        <v>9904396</v>
      </c>
      <c r="K18" s="19">
        <f t="shared" ref="K18:K27" si="13">I18+J18/8</f>
        <v>2146835.5</v>
      </c>
      <c r="L18" s="10">
        <f t="shared" si="11"/>
        <v>310749.25</v>
      </c>
      <c r="M18" s="17">
        <f t="shared" ref="M18:M28" si="14">H18/G18</f>
        <v>0.32071511296408739</v>
      </c>
      <c r="N18" s="10">
        <v>12468972</v>
      </c>
      <c r="O18" s="9">
        <v>6836802</v>
      </c>
      <c r="P18" s="17">
        <f t="shared" ref="P18:P28" si="15">O18/N18</f>
        <v>0.54830518506256976</v>
      </c>
      <c r="Q18" s="9">
        <v>405163</v>
      </c>
      <c r="R18" s="17">
        <f t="shared" si="12"/>
        <v>1.2000679350240712E-2</v>
      </c>
    </row>
    <row r="19" spans="1:18">
      <c r="A19" s="45" t="s">
        <v>21</v>
      </c>
      <c r="B19" s="46"/>
      <c r="C19" s="46"/>
      <c r="D19" s="46"/>
      <c r="E19" s="46"/>
      <c r="F19" s="47"/>
      <c r="G19" s="11">
        <v>7149460</v>
      </c>
      <c r="H19" s="11">
        <v>3228307</v>
      </c>
      <c r="I19" s="9">
        <v>26328</v>
      </c>
      <c r="J19" s="9">
        <f t="shared" si="10"/>
        <v>3201979</v>
      </c>
      <c r="K19" s="19">
        <f t="shared" si="13"/>
        <v>426575.375</v>
      </c>
      <c r="L19" s="10">
        <f t="shared" si="11"/>
        <v>130125.625</v>
      </c>
      <c r="M19" s="17">
        <f t="shared" si="14"/>
        <v>0.45154557127391437</v>
      </c>
      <c r="N19" s="10">
        <v>5034711</v>
      </c>
      <c r="O19" s="9">
        <v>1899526</v>
      </c>
      <c r="P19" s="17">
        <f t="shared" si="15"/>
        <v>0.37728600509542654</v>
      </c>
      <c r="Q19" s="9">
        <v>35912</v>
      </c>
      <c r="R19" s="17">
        <f t="shared" si="12"/>
        <v>5.0181816860682439E-3</v>
      </c>
    </row>
    <row r="20" spans="1:18">
      <c r="A20" s="45" t="s">
        <v>22</v>
      </c>
      <c r="B20" s="46"/>
      <c r="C20" s="46"/>
      <c r="D20" s="46"/>
      <c r="E20" s="46"/>
      <c r="F20" s="47"/>
      <c r="G20" s="11">
        <v>8197898</v>
      </c>
      <c r="H20" s="11">
        <v>1942829</v>
      </c>
      <c r="I20" s="9">
        <v>37429</v>
      </c>
      <c r="J20" s="9">
        <f t="shared" si="10"/>
        <v>1905400</v>
      </c>
      <c r="K20" s="19">
        <f t="shared" si="13"/>
        <v>275604</v>
      </c>
      <c r="L20" s="10">
        <f t="shared" si="11"/>
        <v>37183.625</v>
      </c>
      <c r="M20" s="17">
        <f t="shared" si="14"/>
        <v>0.23699111650327925</v>
      </c>
      <c r="N20" s="10">
        <v>5070966</v>
      </c>
      <c r="O20" s="9">
        <v>1141910</v>
      </c>
      <c r="P20" s="17">
        <f t="shared" si="15"/>
        <v>0.22518589160329611</v>
      </c>
      <c r="Q20" s="9">
        <v>14667</v>
      </c>
      <c r="R20" s="17">
        <f t="shared" si="12"/>
        <v>1.8291635795036404E-3</v>
      </c>
    </row>
    <row r="21" spans="1:18">
      <c r="A21" s="45" t="s">
        <v>23</v>
      </c>
      <c r="B21" s="46"/>
      <c r="C21" s="46"/>
      <c r="D21" s="46"/>
      <c r="E21" s="46"/>
      <c r="F21" s="47"/>
      <c r="G21" s="11">
        <v>19810678</v>
      </c>
      <c r="H21" s="11">
        <v>6368564</v>
      </c>
      <c r="I21" s="9">
        <v>95602</v>
      </c>
      <c r="J21" s="9">
        <f t="shared" si="10"/>
        <v>6272962</v>
      </c>
      <c r="K21" s="19">
        <f t="shared" si="13"/>
        <v>879722.25</v>
      </c>
      <c r="L21" s="10">
        <f t="shared" si="11"/>
        <v>239172.375</v>
      </c>
      <c r="M21" s="17">
        <f t="shared" si="14"/>
        <v>0.32147127927676178</v>
      </c>
      <c r="N21" s="10">
        <v>11893000</v>
      </c>
      <c r="O21" s="9">
        <v>4288324</v>
      </c>
      <c r="P21" s="17">
        <f t="shared" si="15"/>
        <v>0.36057546455898426</v>
      </c>
      <c r="Q21" s="9">
        <v>44368</v>
      </c>
      <c r="R21" s="17">
        <f t="shared" si="12"/>
        <v>2.24046182761654E-3</v>
      </c>
    </row>
    <row r="22" spans="1:18">
      <c r="A22" s="45" t="s">
        <v>24</v>
      </c>
      <c r="B22" s="46"/>
      <c r="C22" s="46"/>
      <c r="D22" s="46"/>
      <c r="E22" s="46"/>
      <c r="F22" s="47"/>
      <c r="G22" s="11">
        <v>9088503</v>
      </c>
      <c r="H22" s="11">
        <v>1402885</v>
      </c>
      <c r="I22" s="9">
        <v>36139</v>
      </c>
      <c r="J22" s="9">
        <f t="shared" si="10"/>
        <v>1366746</v>
      </c>
      <c r="K22" s="19">
        <f t="shared" si="13"/>
        <v>206982.25</v>
      </c>
      <c r="L22" s="10">
        <f t="shared" si="11"/>
        <v>107216.875</v>
      </c>
      <c r="M22" s="17">
        <f t="shared" si="14"/>
        <v>0.15435820398584893</v>
      </c>
      <c r="N22" s="10">
        <v>4174482</v>
      </c>
      <c r="O22" s="9">
        <v>521910</v>
      </c>
      <c r="P22" s="17">
        <f t="shared" si="15"/>
        <v>0.12502389518028822</v>
      </c>
      <c r="Q22" s="9">
        <v>45197</v>
      </c>
      <c r="R22" s="17">
        <f t="shared" si="12"/>
        <v>5.3117449064976827E-3</v>
      </c>
    </row>
    <row r="23" spans="1:18">
      <c r="A23" s="45" t="s">
        <v>25</v>
      </c>
      <c r="B23" s="46"/>
      <c r="C23" s="46"/>
      <c r="D23" s="46"/>
      <c r="E23" s="46"/>
      <c r="F23" s="47"/>
      <c r="G23" s="11">
        <v>13513583</v>
      </c>
      <c r="H23" s="11">
        <v>3418444</v>
      </c>
      <c r="I23" s="9">
        <v>44251</v>
      </c>
      <c r="J23" s="9">
        <f t="shared" si="10"/>
        <v>3374193</v>
      </c>
      <c r="K23" s="19">
        <f t="shared" si="13"/>
        <v>466025.125</v>
      </c>
      <c r="L23" s="10">
        <f t="shared" si="11"/>
        <v>-35663.25</v>
      </c>
      <c r="M23" s="17">
        <f t="shared" si="14"/>
        <v>0.25296355526139885</v>
      </c>
      <c r="N23" s="10">
        <v>7168501</v>
      </c>
      <c r="O23" s="9">
        <v>2007339</v>
      </c>
      <c r="P23" s="17">
        <f t="shared" si="15"/>
        <v>0.28002214130959874</v>
      </c>
      <c r="Q23" s="9">
        <v>82759</v>
      </c>
      <c r="R23" s="17">
        <f t="shared" si="12"/>
        <v>6.1397260058522474E-3</v>
      </c>
    </row>
    <row r="24" spans="1:18">
      <c r="A24" s="45" t="s">
        <v>26</v>
      </c>
      <c r="B24" s="46"/>
      <c r="C24" s="46"/>
      <c r="D24" s="46"/>
      <c r="E24" s="46"/>
      <c r="F24" s="47"/>
      <c r="G24" s="11">
        <v>25612264</v>
      </c>
      <c r="H24" s="11">
        <v>9789847</v>
      </c>
      <c r="I24" s="9">
        <v>64626</v>
      </c>
      <c r="J24" s="9">
        <f t="shared" si="10"/>
        <v>9725221</v>
      </c>
      <c r="K24" s="19">
        <f t="shared" si="13"/>
        <v>1280278.625</v>
      </c>
      <c r="L24" s="10">
        <f t="shared" si="11"/>
        <v>-12682.25</v>
      </c>
      <c r="M24" s="17">
        <f t="shared" si="14"/>
        <v>0.38223278504391489</v>
      </c>
      <c r="N24" s="10">
        <v>14477236</v>
      </c>
      <c r="O24" s="9">
        <v>7031532</v>
      </c>
      <c r="P24" s="17">
        <f t="shared" si="15"/>
        <v>0.48569575021088279</v>
      </c>
      <c r="Q24" s="9">
        <v>384295</v>
      </c>
      <c r="R24" s="17">
        <f t="shared" si="12"/>
        <v>1.4919899518624125E-2</v>
      </c>
    </row>
    <row r="25" spans="1:18">
      <c r="A25" s="45" t="s">
        <v>27</v>
      </c>
      <c r="B25" s="46"/>
      <c r="C25" s="46"/>
      <c r="D25" s="46"/>
      <c r="E25" s="46"/>
      <c r="F25" s="47"/>
      <c r="G25" s="11">
        <v>3417092</v>
      </c>
      <c r="H25" s="11">
        <v>1171748</v>
      </c>
      <c r="I25" s="9">
        <v>20164</v>
      </c>
      <c r="J25" s="9">
        <f t="shared" si="10"/>
        <v>1151584</v>
      </c>
      <c r="K25" s="19">
        <f t="shared" si="13"/>
        <v>164112</v>
      </c>
      <c r="L25" s="10">
        <f t="shared" si="11"/>
        <v>51772</v>
      </c>
      <c r="M25" s="17">
        <f t="shared" si="14"/>
        <v>0.3429079462888327</v>
      </c>
      <c r="N25" s="10">
        <v>1913143</v>
      </c>
      <c r="O25" s="9">
        <v>780010</v>
      </c>
      <c r="P25" s="17">
        <f t="shared" si="15"/>
        <v>0.40771128974676751</v>
      </c>
      <c r="Q25" s="9">
        <v>2522</v>
      </c>
      <c r="R25" s="17">
        <f t="shared" si="12"/>
        <v>7.3808448638304361E-4</v>
      </c>
    </row>
    <row r="26" spans="1:18">
      <c r="A26" s="45" t="s">
        <v>28</v>
      </c>
      <c r="B26" s="46"/>
      <c r="C26" s="46"/>
      <c r="D26" s="46"/>
      <c r="E26" s="46"/>
      <c r="F26" s="47"/>
      <c r="G26" s="11">
        <v>14419155</v>
      </c>
      <c r="H26" s="11">
        <v>7050750</v>
      </c>
      <c r="I26" s="9">
        <v>99749</v>
      </c>
      <c r="J26" s="9">
        <f t="shared" si="10"/>
        <v>6951001</v>
      </c>
      <c r="K26" s="19">
        <f t="shared" si="13"/>
        <v>968624.125</v>
      </c>
      <c r="L26" s="10">
        <f t="shared" si="11"/>
        <v>226032.25</v>
      </c>
      <c r="M26" s="17">
        <f t="shared" si="14"/>
        <v>0.48898496479162612</v>
      </c>
      <c r="N26" s="10">
        <v>9367613</v>
      </c>
      <c r="O26" s="9">
        <v>3646344</v>
      </c>
      <c r="P26" s="17">
        <f t="shared" si="15"/>
        <v>0.38925006829381187</v>
      </c>
      <c r="Q26" s="9">
        <v>31741</v>
      </c>
      <c r="R26" s="17">
        <f t="shared" si="12"/>
        <v>2.2459990598801705E-3</v>
      </c>
    </row>
    <row r="27" spans="1:18">
      <c r="A27" s="45" t="s">
        <v>29</v>
      </c>
      <c r="B27" s="46"/>
      <c r="C27" s="46"/>
      <c r="D27" s="46"/>
      <c r="E27" s="46"/>
      <c r="F27" s="47"/>
      <c r="G27" s="11">
        <v>2617227</v>
      </c>
      <c r="H27" s="11">
        <v>298860</v>
      </c>
      <c r="I27" s="9">
        <v>6528</v>
      </c>
      <c r="J27" s="9">
        <f t="shared" si="10"/>
        <v>292332</v>
      </c>
      <c r="K27" s="19">
        <f t="shared" si="13"/>
        <v>43069.5</v>
      </c>
      <c r="L27" s="10">
        <f t="shared" si="11"/>
        <v>-2817.25</v>
      </c>
      <c r="M27" s="17">
        <f t="shared" si="14"/>
        <v>0.11418956017189186</v>
      </c>
      <c r="N27" s="10">
        <v>945698</v>
      </c>
      <c r="O27" s="9">
        <v>126176</v>
      </c>
      <c r="P27" s="17">
        <f t="shared" si="15"/>
        <v>0.13342102870049424</v>
      </c>
      <c r="Q27" s="9">
        <v>2099</v>
      </c>
      <c r="R27" s="17">
        <f t="shared" si="12"/>
        <v>8.1723871429934143E-4</v>
      </c>
    </row>
    <row r="28" spans="1:18">
      <c r="A28" s="48" t="s">
        <v>30</v>
      </c>
      <c r="B28" s="49"/>
      <c r="C28" s="49"/>
      <c r="D28" s="49"/>
      <c r="E28" s="49"/>
      <c r="F28" s="50"/>
      <c r="G28" s="12">
        <f t="shared" ref="G28:L28" si="16">SUM(G17:G27)</f>
        <v>141506177</v>
      </c>
      <c r="H28" s="12">
        <f t="shared" si="16"/>
        <v>46390197</v>
      </c>
      <c r="I28" s="12">
        <f t="shared" si="16"/>
        <v>1351202</v>
      </c>
      <c r="J28" s="12">
        <f t="shared" si="16"/>
        <v>45038995</v>
      </c>
      <c r="K28" s="20">
        <f t="shared" si="16"/>
        <v>6981076.375</v>
      </c>
      <c r="L28" s="20">
        <f t="shared" si="16"/>
        <v>1042593.25</v>
      </c>
      <c r="M28" s="18">
        <f t="shared" si="14"/>
        <v>0.32783160412848972</v>
      </c>
      <c r="N28" s="13">
        <f>SUM(N17:N27)</f>
        <v>74058035</v>
      </c>
      <c r="O28" s="21">
        <f>SUM(O17:O27)</f>
        <v>28871248</v>
      </c>
      <c r="P28" s="18">
        <f t="shared" si="15"/>
        <v>0.38984626043615661</v>
      </c>
      <c r="Q28" s="21">
        <f>SUM(Q17:Q27)</f>
        <v>1069343</v>
      </c>
      <c r="R28" s="18">
        <f t="shared" si="12"/>
        <v>7.6137073717438978E-3</v>
      </c>
    </row>
    <row r="29" spans="1:18" ht="14.5">
      <c r="A29" s="41" t="s">
        <v>44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spans="1:18" ht="26">
      <c r="A30" s="42" t="s">
        <v>1</v>
      </c>
      <c r="B30" s="43"/>
      <c r="C30" s="43"/>
      <c r="D30" s="43"/>
      <c r="E30" s="43"/>
      <c r="F30" s="44"/>
      <c r="G30" s="14" t="s">
        <v>45</v>
      </c>
      <c r="H30" s="14" t="s">
        <v>46</v>
      </c>
      <c r="I30" s="14" t="s">
        <v>47</v>
      </c>
      <c r="J30" s="14" t="s">
        <v>48</v>
      </c>
      <c r="K30" s="14" t="s">
        <v>49</v>
      </c>
      <c r="L30" s="14" t="s">
        <v>50</v>
      </c>
      <c r="M30" s="14" t="s">
        <v>51</v>
      </c>
      <c r="N30" s="14" t="s">
        <v>52</v>
      </c>
      <c r="O30" s="14" t="s">
        <v>53</v>
      </c>
      <c r="P30" s="14" t="s">
        <v>54</v>
      </c>
      <c r="Q30" s="14" t="s">
        <v>55</v>
      </c>
      <c r="R30" s="14" t="s">
        <v>56</v>
      </c>
    </row>
    <row r="31" spans="1:18">
      <c r="A31" s="45" t="s">
        <v>19</v>
      </c>
      <c r="B31" s="46"/>
      <c r="C31" s="46"/>
      <c r="D31" s="46"/>
      <c r="E31" s="46"/>
      <c r="F31" s="47"/>
      <c r="G31" s="11">
        <v>4001016</v>
      </c>
      <c r="H31" s="11">
        <v>914998</v>
      </c>
      <c r="I31" s="9">
        <v>11661</v>
      </c>
      <c r="J31" s="9">
        <f>H31-I31</f>
        <v>903337</v>
      </c>
      <c r="K31" s="19">
        <f>I31+J31/8</f>
        <v>124578.125</v>
      </c>
      <c r="L31" s="10">
        <f>K31-E3</f>
        <v>-7165.5</v>
      </c>
      <c r="M31" s="17">
        <f>H31/G31</f>
        <v>0.22869141238125515</v>
      </c>
      <c r="N31" s="10">
        <v>1545831</v>
      </c>
      <c r="O31" s="9">
        <v>599944</v>
      </c>
      <c r="P31" s="17">
        <f>O31/N31</f>
        <v>0.38810452112811816</v>
      </c>
      <c r="Q31" s="9">
        <v>72509</v>
      </c>
      <c r="R31" s="17">
        <f t="shared" ref="R31:R42" si="17">Q31/G17</f>
        <v>1.8289712947686058E-2</v>
      </c>
    </row>
    <row r="32" spans="1:18">
      <c r="A32" s="45" t="s">
        <v>20</v>
      </c>
      <c r="B32" s="46"/>
      <c r="C32" s="46"/>
      <c r="D32" s="46"/>
      <c r="E32" s="46"/>
      <c r="F32" s="47"/>
      <c r="G32" s="11">
        <v>33888398</v>
      </c>
      <c r="H32" s="11">
        <v>10998775</v>
      </c>
      <c r="I32" s="9">
        <v>871306</v>
      </c>
      <c r="J32" s="9">
        <f t="shared" ref="J32:J41" si="18">H32-I32</f>
        <v>10127469</v>
      </c>
      <c r="K32" s="19">
        <f t="shared" ref="K32:K41" si="19">I32+J32/8</f>
        <v>2137239.625</v>
      </c>
      <c r="L32" s="10">
        <f t="shared" ref="L32:L41" si="20">K32-E4</f>
        <v>301153.375</v>
      </c>
      <c r="M32" s="17">
        <f t="shared" ref="M32:M42" si="21">H32/G32</f>
        <v>0.32455871770627814</v>
      </c>
      <c r="N32" s="10">
        <v>12597781</v>
      </c>
      <c r="O32" s="9">
        <v>6949141</v>
      </c>
      <c r="P32" s="17">
        <f t="shared" ref="P32:P42" si="22">O32/N32</f>
        <v>0.55161627273882596</v>
      </c>
      <c r="Q32" s="9">
        <v>121064</v>
      </c>
      <c r="R32" s="17">
        <f t="shared" si="17"/>
        <v>3.5907149658522602E-3</v>
      </c>
    </row>
    <row r="33" spans="1:18">
      <c r="A33" s="45" t="s">
        <v>21</v>
      </c>
      <c r="B33" s="46"/>
      <c r="C33" s="46"/>
      <c r="D33" s="46"/>
      <c r="E33" s="46"/>
      <c r="F33" s="47"/>
      <c r="G33" s="11">
        <v>7155021</v>
      </c>
      <c r="H33" s="11">
        <v>3240764</v>
      </c>
      <c r="I33" s="9">
        <v>26197</v>
      </c>
      <c r="J33" s="9">
        <f t="shared" si="18"/>
        <v>3214567</v>
      </c>
      <c r="K33" s="19">
        <f t="shared" si="19"/>
        <v>428017.875</v>
      </c>
      <c r="L33" s="10">
        <f t="shared" si="20"/>
        <v>131568.125</v>
      </c>
      <c r="M33" s="17">
        <f t="shared" si="21"/>
        <v>0.45293563778499041</v>
      </c>
      <c r="N33" s="10">
        <v>5018587</v>
      </c>
      <c r="O33" s="9">
        <v>1972337</v>
      </c>
      <c r="P33" s="17">
        <f t="shared" si="22"/>
        <v>0.39300643786786998</v>
      </c>
      <c r="Q33" s="9">
        <v>29991</v>
      </c>
      <c r="R33" s="17">
        <f t="shared" si="17"/>
        <v>4.1948622693182419E-3</v>
      </c>
    </row>
    <row r="34" spans="1:18">
      <c r="A34" s="45" t="s">
        <v>22</v>
      </c>
      <c r="B34" s="46"/>
      <c r="C34" s="46"/>
      <c r="D34" s="46"/>
      <c r="E34" s="46"/>
      <c r="F34" s="47"/>
      <c r="G34" s="11">
        <v>8485939</v>
      </c>
      <c r="H34" s="11">
        <v>2378087</v>
      </c>
      <c r="I34" s="9">
        <v>37808</v>
      </c>
      <c r="J34" s="9">
        <f t="shared" si="18"/>
        <v>2340279</v>
      </c>
      <c r="K34" s="19">
        <f t="shared" si="19"/>
        <v>330342.875</v>
      </c>
      <c r="L34" s="10">
        <f t="shared" si="20"/>
        <v>91922.5</v>
      </c>
      <c r="M34" s="17">
        <f t="shared" si="21"/>
        <v>0.28023852162972185</v>
      </c>
      <c r="N34" s="10">
        <v>5489787</v>
      </c>
      <c r="O34" s="9">
        <v>1205626</v>
      </c>
      <c r="P34" s="17">
        <f t="shared" si="22"/>
        <v>0.21961252777202467</v>
      </c>
      <c r="Q34" s="9">
        <v>4441</v>
      </c>
      <c r="R34" s="17">
        <f t="shared" si="17"/>
        <v>5.417242322361171E-4</v>
      </c>
    </row>
    <row r="35" spans="1:18">
      <c r="A35" s="45" t="s">
        <v>23</v>
      </c>
      <c r="B35" s="46"/>
      <c r="C35" s="46"/>
      <c r="D35" s="46"/>
      <c r="E35" s="46"/>
      <c r="F35" s="47"/>
      <c r="G35" s="11">
        <v>19830048</v>
      </c>
      <c r="H35" s="11">
        <v>6421976</v>
      </c>
      <c r="I35" s="9">
        <v>96921</v>
      </c>
      <c r="J35" s="9">
        <f t="shared" si="18"/>
        <v>6325055</v>
      </c>
      <c r="K35" s="19">
        <f t="shared" si="19"/>
        <v>887552.875</v>
      </c>
      <c r="L35" s="10">
        <f t="shared" si="20"/>
        <v>247003</v>
      </c>
      <c r="M35" s="17">
        <f t="shared" si="21"/>
        <v>0.3238507541686233</v>
      </c>
      <c r="N35" s="10">
        <v>12167045</v>
      </c>
      <c r="O35" s="9">
        <v>4321405</v>
      </c>
      <c r="P35" s="17">
        <f t="shared" si="22"/>
        <v>0.35517292818428797</v>
      </c>
      <c r="Q35" s="9">
        <v>47712</v>
      </c>
      <c r="R35" s="17">
        <f t="shared" si="17"/>
        <v>2.4083981376104343E-3</v>
      </c>
    </row>
    <row r="36" spans="1:18">
      <c r="A36" s="45" t="s">
        <v>24</v>
      </c>
      <c r="B36" s="46"/>
      <c r="C36" s="46"/>
      <c r="D36" s="46"/>
      <c r="E36" s="46"/>
      <c r="F36" s="47"/>
      <c r="G36" s="11">
        <v>9132199</v>
      </c>
      <c r="H36" s="11">
        <v>1242364</v>
      </c>
      <c r="I36" s="9">
        <v>35386</v>
      </c>
      <c r="J36" s="9">
        <f t="shared" si="18"/>
        <v>1206978</v>
      </c>
      <c r="K36" s="19">
        <f t="shared" si="19"/>
        <v>186258.25</v>
      </c>
      <c r="L36" s="10">
        <f t="shared" si="20"/>
        <v>86492.875</v>
      </c>
      <c r="M36" s="17">
        <f t="shared" si="21"/>
        <v>0.13604215151246704</v>
      </c>
      <c r="N36" s="10">
        <v>4201924</v>
      </c>
      <c r="O36" s="9">
        <v>523424</v>
      </c>
      <c r="P36" s="17">
        <f t="shared" si="22"/>
        <v>0.12456769803547137</v>
      </c>
      <c r="Q36" s="9">
        <v>50159</v>
      </c>
      <c r="R36" s="17">
        <f t="shared" si="17"/>
        <v>5.5189507006819499E-3</v>
      </c>
    </row>
    <row r="37" spans="1:18">
      <c r="A37" s="45" t="s">
        <v>25</v>
      </c>
      <c r="B37" s="46"/>
      <c r="C37" s="46"/>
      <c r="D37" s="46"/>
      <c r="E37" s="46"/>
      <c r="F37" s="47"/>
      <c r="G37" s="11">
        <v>13567443</v>
      </c>
      <c r="H37" s="11">
        <v>3459367</v>
      </c>
      <c r="I37" s="9">
        <v>43528</v>
      </c>
      <c r="J37" s="9">
        <f t="shared" si="18"/>
        <v>3415839</v>
      </c>
      <c r="K37" s="19">
        <f t="shared" si="19"/>
        <v>470507.875</v>
      </c>
      <c r="L37" s="10">
        <f t="shared" si="20"/>
        <v>-31180.5</v>
      </c>
      <c r="M37" s="17">
        <f t="shared" si="21"/>
        <v>0.25497560594137009</v>
      </c>
      <c r="N37" s="10">
        <v>7328909</v>
      </c>
      <c r="O37" s="9">
        <v>2006946</v>
      </c>
      <c r="P37" s="17">
        <f t="shared" si="22"/>
        <v>0.27383966699545592</v>
      </c>
      <c r="Q37" s="9">
        <v>60169</v>
      </c>
      <c r="R37" s="17">
        <f t="shared" si="17"/>
        <v>4.4524831053318727E-3</v>
      </c>
    </row>
    <row r="38" spans="1:18">
      <c r="A38" s="45" t="s">
        <v>26</v>
      </c>
      <c r="B38" s="46"/>
      <c r="C38" s="46"/>
      <c r="D38" s="46"/>
      <c r="E38" s="46"/>
      <c r="F38" s="47"/>
      <c r="G38" s="11">
        <v>25349492</v>
      </c>
      <c r="H38" s="11">
        <v>10825223</v>
      </c>
      <c r="I38" s="9">
        <v>67825</v>
      </c>
      <c r="J38" s="9">
        <f t="shared" si="18"/>
        <v>10757398</v>
      </c>
      <c r="K38" s="19">
        <f t="shared" si="19"/>
        <v>1412499.75</v>
      </c>
      <c r="L38" s="10">
        <f t="shared" si="20"/>
        <v>119538.875</v>
      </c>
      <c r="M38" s="17">
        <f t="shared" si="21"/>
        <v>0.42703905072338333</v>
      </c>
      <c r="N38" s="10">
        <v>14529026</v>
      </c>
      <c r="O38" s="9">
        <v>7025177</v>
      </c>
      <c r="P38" s="17">
        <f t="shared" si="22"/>
        <v>0.48352704441440192</v>
      </c>
      <c r="Q38" s="9">
        <v>324621</v>
      </c>
      <c r="R38" s="17">
        <f t="shared" si="17"/>
        <v>1.2674435965520267E-2</v>
      </c>
    </row>
    <row r="39" spans="1:18">
      <c r="A39" s="45" t="s">
        <v>27</v>
      </c>
      <c r="B39" s="46"/>
      <c r="C39" s="46"/>
      <c r="D39" s="46"/>
      <c r="E39" s="46"/>
      <c r="F39" s="47"/>
      <c r="G39" s="11">
        <v>3416303</v>
      </c>
      <c r="H39" s="11">
        <v>1142236</v>
      </c>
      <c r="I39" s="9">
        <v>20186</v>
      </c>
      <c r="J39" s="9">
        <f t="shared" si="18"/>
        <v>1122050</v>
      </c>
      <c r="K39" s="19">
        <f t="shared" si="19"/>
        <v>160442.25</v>
      </c>
      <c r="L39" s="10">
        <f t="shared" si="20"/>
        <v>48102.25</v>
      </c>
      <c r="M39" s="17">
        <f t="shared" si="21"/>
        <v>0.3343485633446448</v>
      </c>
      <c r="N39" s="10">
        <v>1906810</v>
      </c>
      <c r="O39" s="9">
        <v>766342</v>
      </c>
      <c r="P39" s="17">
        <f t="shared" si="22"/>
        <v>0.40189740981010169</v>
      </c>
      <c r="Q39" s="9">
        <v>4132</v>
      </c>
      <c r="R39" s="17">
        <f t="shared" si="17"/>
        <v>1.2092153210975882E-3</v>
      </c>
    </row>
    <row r="40" spans="1:18">
      <c r="A40" s="45" t="s">
        <v>28</v>
      </c>
      <c r="B40" s="46"/>
      <c r="C40" s="46"/>
      <c r="D40" s="46"/>
      <c r="E40" s="46"/>
      <c r="F40" s="47"/>
      <c r="G40" s="11">
        <v>14528437</v>
      </c>
      <c r="H40" s="11">
        <v>7440222</v>
      </c>
      <c r="I40" s="9">
        <v>59687</v>
      </c>
      <c r="J40" s="9">
        <f t="shared" si="18"/>
        <v>7380535</v>
      </c>
      <c r="K40" s="19">
        <f t="shared" si="19"/>
        <v>982253.875</v>
      </c>
      <c r="L40" s="10">
        <f t="shared" si="20"/>
        <v>239662</v>
      </c>
      <c r="M40" s="17">
        <f t="shared" si="21"/>
        <v>0.51211441395932678</v>
      </c>
      <c r="N40" s="10">
        <v>9818246</v>
      </c>
      <c r="O40" s="9">
        <v>3689980</v>
      </c>
      <c r="P40" s="17">
        <f t="shared" si="22"/>
        <v>0.37582883948925294</v>
      </c>
      <c r="Q40" s="9">
        <v>413424</v>
      </c>
      <c r="R40" s="17">
        <f t="shared" si="17"/>
        <v>2.8671860452294189E-2</v>
      </c>
    </row>
    <row r="41" spans="1:18">
      <c r="A41" s="45" t="s">
        <v>29</v>
      </c>
      <c r="B41" s="46"/>
      <c r="C41" s="46"/>
      <c r="D41" s="46"/>
      <c r="E41" s="46"/>
      <c r="F41" s="47"/>
      <c r="G41" s="11">
        <v>2767714</v>
      </c>
      <c r="H41" s="11">
        <v>297214</v>
      </c>
      <c r="I41" s="9">
        <v>6307</v>
      </c>
      <c r="J41" s="9">
        <f t="shared" si="18"/>
        <v>290907</v>
      </c>
      <c r="K41" s="19">
        <f t="shared" si="19"/>
        <v>42670.375</v>
      </c>
      <c r="L41" s="10">
        <f t="shared" si="20"/>
        <v>-3216.375</v>
      </c>
      <c r="M41" s="17">
        <f t="shared" si="21"/>
        <v>0.10738609552865649</v>
      </c>
      <c r="N41" s="10">
        <v>1208809</v>
      </c>
      <c r="O41" s="9">
        <v>123268</v>
      </c>
      <c r="P41" s="17">
        <f t="shared" si="22"/>
        <v>0.10197475366248927</v>
      </c>
      <c r="Q41" s="9">
        <v>519</v>
      </c>
      <c r="R41" s="17">
        <f t="shared" si="17"/>
        <v>1.9830148473938257E-4</v>
      </c>
    </row>
    <row r="42" spans="1:18">
      <c r="A42" s="48" t="s">
        <v>30</v>
      </c>
      <c r="B42" s="49"/>
      <c r="C42" s="49"/>
      <c r="D42" s="49"/>
      <c r="E42" s="49"/>
      <c r="F42" s="50"/>
      <c r="G42" s="12">
        <f t="shared" ref="G42" si="23">SUM(G31:G41)</f>
        <v>142122010</v>
      </c>
      <c r="H42" s="12">
        <f t="shared" ref="H42" si="24">SUM(H31:H41)</f>
        <v>48361226</v>
      </c>
      <c r="I42" s="12">
        <f t="shared" ref="I42" si="25">SUM(I31:I41)</f>
        <v>1276812</v>
      </c>
      <c r="J42" s="12">
        <f t="shared" ref="J42" si="26">SUM(J31:J41)</f>
        <v>47084414</v>
      </c>
      <c r="K42" s="20">
        <f t="shared" ref="K42:L42" si="27">SUM(K31:K41)</f>
        <v>7162363.75</v>
      </c>
      <c r="L42" s="13">
        <f t="shared" si="27"/>
        <v>1223880.625</v>
      </c>
      <c r="M42" s="18">
        <f t="shared" si="21"/>
        <v>0.34027963719342275</v>
      </c>
      <c r="N42" s="13">
        <f>SUM(N31:N41)</f>
        <v>75812755</v>
      </c>
      <c r="O42" s="21">
        <f>SUM(O31:O41)</f>
        <v>29183590</v>
      </c>
      <c r="P42" s="18">
        <f t="shared" si="22"/>
        <v>0.3849430086005976</v>
      </c>
      <c r="Q42" s="21">
        <f>SUM(Q31:Q41)</f>
        <v>1128741</v>
      </c>
      <c r="R42" s="18">
        <f t="shared" si="17"/>
        <v>7.9766199888221135E-3</v>
      </c>
    </row>
    <row r="43" spans="1:18" ht="14.5">
      <c r="A43" s="51" t="s">
        <v>57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spans="1:18" ht="26">
      <c r="A44" s="42" t="s">
        <v>1</v>
      </c>
      <c r="B44" s="43"/>
      <c r="C44" s="43"/>
      <c r="D44" s="43"/>
      <c r="E44" s="43"/>
      <c r="F44" s="44"/>
      <c r="G44" s="14" t="s">
        <v>58</v>
      </c>
      <c r="H44" s="14" t="s">
        <v>59</v>
      </c>
      <c r="I44" s="14" t="s">
        <v>60</v>
      </c>
      <c r="J44" s="14" t="s">
        <v>61</v>
      </c>
      <c r="K44" s="14" t="s">
        <v>62</v>
      </c>
      <c r="L44" s="14" t="s">
        <v>63</v>
      </c>
      <c r="M44" s="14" t="s">
        <v>64</v>
      </c>
      <c r="N44" s="14" t="s">
        <v>65</v>
      </c>
      <c r="O44" s="14" t="s">
        <v>66</v>
      </c>
      <c r="P44" s="14" t="s">
        <v>67</v>
      </c>
      <c r="Q44" s="14" t="s">
        <v>68</v>
      </c>
      <c r="R44" s="14" t="s">
        <v>69</v>
      </c>
    </row>
    <row r="45" spans="1:18">
      <c r="A45" s="45" t="s">
        <v>19</v>
      </c>
      <c r="B45" s="46"/>
      <c r="C45" s="46"/>
      <c r="D45" s="46"/>
      <c r="E45" s="46"/>
      <c r="F45" s="47"/>
      <c r="G45" s="11">
        <v>4019972</v>
      </c>
      <c r="H45" s="11">
        <v>915930</v>
      </c>
      <c r="I45" s="11">
        <v>12680</v>
      </c>
      <c r="J45" s="11">
        <f>H45-I45</f>
        <v>903250</v>
      </c>
      <c r="K45" s="19">
        <f>I45+J45/8</f>
        <v>125586.25</v>
      </c>
      <c r="L45" s="10">
        <f>K45-E3</f>
        <v>-6157.375</v>
      </c>
      <c r="M45" s="17">
        <f>H45/G45</f>
        <v>0.22784487056128749</v>
      </c>
      <c r="N45" s="11">
        <v>1655688</v>
      </c>
      <c r="O45" s="11">
        <v>653659</v>
      </c>
      <c r="P45" s="17">
        <f>O45/N45</f>
        <v>0.39479600021260042</v>
      </c>
      <c r="Q45" s="11">
        <v>45684</v>
      </c>
      <c r="R45" s="17">
        <f>Q45/G31</f>
        <v>1.1418099802650126E-2</v>
      </c>
    </row>
    <row r="46" spans="1:18">
      <c r="A46" s="45" t="s">
        <v>20</v>
      </c>
      <c r="B46" s="46"/>
      <c r="C46" s="46"/>
      <c r="D46" s="46"/>
      <c r="E46" s="46"/>
      <c r="F46" s="47"/>
      <c r="G46" s="11">
        <v>33849050</v>
      </c>
      <c r="H46" s="11">
        <v>11178746</v>
      </c>
      <c r="I46" s="11">
        <v>883059</v>
      </c>
      <c r="J46" s="11">
        <f t="shared" ref="J46:J55" si="28">H46-I46</f>
        <v>10295687</v>
      </c>
      <c r="K46" s="19">
        <f t="shared" ref="K46:K55" si="29">I46+J46/8</f>
        <v>2170019.875</v>
      </c>
      <c r="L46" s="10">
        <f t="shared" ref="L46:L55" si="30">K46-E4</f>
        <v>333933.625</v>
      </c>
      <c r="M46" s="17">
        <f t="shared" ref="M46:M56" si="31">H46/G46</f>
        <v>0.33025287268032633</v>
      </c>
      <c r="N46" s="11">
        <v>12768665</v>
      </c>
      <c r="O46" s="11">
        <v>7117792</v>
      </c>
      <c r="P46" s="17">
        <f t="shared" ref="P46:P56" si="32">O46/N46</f>
        <v>0.55744214449983609</v>
      </c>
      <c r="Q46" s="11">
        <v>394318</v>
      </c>
      <c r="R46" s="17">
        <f t="shared" ref="R46:R56" si="33">Q46/G32</f>
        <v>1.1635781661912729E-2</v>
      </c>
    </row>
    <row r="47" spans="1:18">
      <c r="A47" s="45" t="s">
        <v>21</v>
      </c>
      <c r="B47" s="46"/>
      <c r="C47" s="46"/>
      <c r="D47" s="46"/>
      <c r="E47" s="46"/>
      <c r="F47" s="47"/>
      <c r="G47" s="11">
        <v>7333159</v>
      </c>
      <c r="H47" s="11">
        <v>3437432</v>
      </c>
      <c r="I47" s="11">
        <v>28566</v>
      </c>
      <c r="J47" s="11">
        <f t="shared" si="28"/>
        <v>3408866</v>
      </c>
      <c r="K47" s="19">
        <f t="shared" si="29"/>
        <v>454674.25</v>
      </c>
      <c r="L47" s="10">
        <f t="shared" si="30"/>
        <v>158224.5</v>
      </c>
      <c r="M47" s="17">
        <f t="shared" si="31"/>
        <v>0.46875187078310998</v>
      </c>
      <c r="N47" s="11">
        <v>4968826</v>
      </c>
      <c r="O47" s="11">
        <v>2076004</v>
      </c>
      <c r="P47" s="17">
        <f t="shared" si="32"/>
        <v>0.41780573519781133</v>
      </c>
      <c r="Q47" s="11">
        <v>32092</v>
      </c>
      <c r="R47" s="17">
        <f t="shared" si="33"/>
        <v>4.485241902155144E-3</v>
      </c>
    </row>
    <row r="48" spans="1:18">
      <c r="A48" s="45" t="s">
        <v>22</v>
      </c>
      <c r="B48" s="46"/>
      <c r="C48" s="46"/>
      <c r="D48" s="46"/>
      <c r="E48" s="46"/>
      <c r="F48" s="47"/>
      <c r="G48" s="11">
        <v>8816790</v>
      </c>
      <c r="H48" s="11">
        <v>2571538</v>
      </c>
      <c r="I48" s="11">
        <v>37120</v>
      </c>
      <c r="J48" s="11">
        <f t="shared" si="28"/>
        <v>2534418</v>
      </c>
      <c r="K48" s="19">
        <f t="shared" si="29"/>
        <v>353922.25</v>
      </c>
      <c r="L48" s="10">
        <f t="shared" si="30"/>
        <v>115501.875</v>
      </c>
      <c r="M48" s="17">
        <f t="shared" si="31"/>
        <v>0.29166374610260648</v>
      </c>
      <c r="N48" s="11">
        <v>5907106</v>
      </c>
      <c r="O48" s="11">
        <v>1248191</v>
      </c>
      <c r="P48" s="17">
        <f t="shared" si="32"/>
        <v>0.21130330148130066</v>
      </c>
      <c r="Q48" s="11">
        <v>35180</v>
      </c>
      <c r="R48" s="17">
        <f t="shared" si="33"/>
        <v>4.1456814620043818E-3</v>
      </c>
    </row>
    <row r="49" spans="1:18">
      <c r="A49" s="45" t="s">
        <v>23</v>
      </c>
      <c r="B49" s="46"/>
      <c r="C49" s="46"/>
      <c r="D49" s="46"/>
      <c r="E49" s="46"/>
      <c r="F49" s="47"/>
      <c r="G49" s="11">
        <v>19824305</v>
      </c>
      <c r="H49" s="11">
        <v>6452538</v>
      </c>
      <c r="I49" s="11">
        <v>98416</v>
      </c>
      <c r="J49" s="11">
        <f t="shared" si="28"/>
        <v>6354122</v>
      </c>
      <c r="K49" s="19">
        <f t="shared" si="29"/>
        <v>892681.25</v>
      </c>
      <c r="L49" s="10">
        <f t="shared" si="30"/>
        <v>252131.375</v>
      </c>
      <c r="M49" s="17">
        <f t="shared" si="31"/>
        <v>0.3254862150274625</v>
      </c>
      <c r="N49" s="11">
        <v>12379956</v>
      </c>
      <c r="O49" s="11">
        <v>4382754</v>
      </c>
      <c r="P49" s="17">
        <f t="shared" si="32"/>
        <v>0.3540201596839278</v>
      </c>
      <c r="Q49" s="11">
        <v>118225</v>
      </c>
      <c r="R49" s="17">
        <f t="shared" si="33"/>
        <v>5.9619119429262096E-3</v>
      </c>
    </row>
    <row r="50" spans="1:18">
      <c r="A50" s="45" t="s">
        <v>24</v>
      </c>
      <c r="B50" s="46"/>
      <c r="C50" s="46"/>
      <c r="D50" s="46"/>
      <c r="E50" s="46"/>
      <c r="F50" s="47"/>
      <c r="G50" s="11">
        <v>9133170</v>
      </c>
      <c r="H50" s="11">
        <v>1201469</v>
      </c>
      <c r="I50" s="11">
        <v>35870</v>
      </c>
      <c r="J50" s="11">
        <f t="shared" si="28"/>
        <v>1165599</v>
      </c>
      <c r="K50" s="19">
        <f t="shared" si="29"/>
        <v>181569.875</v>
      </c>
      <c r="L50" s="10">
        <f t="shared" si="30"/>
        <v>81804.5</v>
      </c>
      <c r="M50" s="17">
        <f t="shared" si="31"/>
        <v>0.13155005326737595</v>
      </c>
      <c r="N50" s="11">
        <v>4211190</v>
      </c>
      <c r="O50" s="11">
        <v>519782</v>
      </c>
      <c r="P50" s="17">
        <f t="shared" si="32"/>
        <v>0.12342876954020122</v>
      </c>
      <c r="Q50" s="11">
        <v>6332</v>
      </c>
      <c r="R50" s="17">
        <f t="shared" si="33"/>
        <v>6.9337078616004755E-4</v>
      </c>
    </row>
    <row r="51" spans="1:18">
      <c r="A51" s="45" t="s">
        <v>25</v>
      </c>
      <c r="B51" s="46"/>
      <c r="C51" s="46"/>
      <c r="D51" s="46"/>
      <c r="E51" s="46"/>
      <c r="F51" s="47"/>
      <c r="G51" s="11">
        <v>13632157</v>
      </c>
      <c r="H51" s="11">
        <v>3329664</v>
      </c>
      <c r="I51" s="11">
        <v>43888</v>
      </c>
      <c r="J51" s="11">
        <f t="shared" si="28"/>
        <v>3285776</v>
      </c>
      <c r="K51" s="19">
        <f t="shared" si="29"/>
        <v>454610</v>
      </c>
      <c r="L51" s="10">
        <f t="shared" si="30"/>
        <v>-47078.375</v>
      </c>
      <c r="M51" s="17">
        <f t="shared" si="31"/>
        <v>0.24425070808676866</v>
      </c>
      <c r="N51" s="11">
        <v>7520804</v>
      </c>
      <c r="O51" s="11">
        <v>2062242</v>
      </c>
      <c r="P51" s="17">
        <f t="shared" si="32"/>
        <v>0.27420499191309866</v>
      </c>
      <c r="Q51" s="11">
        <v>44091</v>
      </c>
      <c r="R51" s="17">
        <f t="shared" si="33"/>
        <v>3.2497648967458347E-3</v>
      </c>
    </row>
    <row r="52" spans="1:18">
      <c r="A52" s="45" t="s">
        <v>26</v>
      </c>
      <c r="B52" s="46"/>
      <c r="C52" s="46"/>
      <c r="D52" s="46"/>
      <c r="E52" s="46"/>
      <c r="F52" s="47"/>
      <c r="G52" s="11">
        <v>25640330</v>
      </c>
      <c r="H52" s="11">
        <v>9762628</v>
      </c>
      <c r="I52" s="11">
        <v>68752</v>
      </c>
      <c r="J52" s="11">
        <f t="shared" si="28"/>
        <v>9693876</v>
      </c>
      <c r="K52" s="19">
        <f t="shared" si="29"/>
        <v>1280486.5</v>
      </c>
      <c r="L52" s="10">
        <f t="shared" si="30"/>
        <v>-12474.375</v>
      </c>
      <c r="M52" s="17">
        <f t="shared" si="31"/>
        <v>0.38075282182405606</v>
      </c>
      <c r="N52" s="11">
        <v>14681733</v>
      </c>
      <c r="O52" s="11">
        <v>7027964</v>
      </c>
      <c r="P52" s="17">
        <f t="shared" si="32"/>
        <v>0.47868763176663137</v>
      </c>
      <c r="Q52" s="11">
        <v>154558</v>
      </c>
      <c r="R52" s="17">
        <f t="shared" si="33"/>
        <v>6.0970847068651315E-3</v>
      </c>
    </row>
    <row r="53" spans="1:18">
      <c r="A53" s="45" t="s">
        <v>27</v>
      </c>
      <c r="B53" s="46"/>
      <c r="C53" s="46"/>
      <c r="D53" s="46"/>
      <c r="E53" s="46"/>
      <c r="F53" s="47"/>
      <c r="G53" s="11">
        <v>3411685</v>
      </c>
      <c r="H53" s="11">
        <v>1137139</v>
      </c>
      <c r="I53" s="11">
        <v>20416</v>
      </c>
      <c r="J53" s="11">
        <f t="shared" si="28"/>
        <v>1116723</v>
      </c>
      <c r="K53" s="19">
        <f t="shared" si="29"/>
        <v>160006.375</v>
      </c>
      <c r="L53" s="10">
        <f t="shared" si="30"/>
        <v>47666.375</v>
      </c>
      <c r="M53" s="17">
        <f t="shared" si="31"/>
        <v>0.33330714881356283</v>
      </c>
      <c r="N53" s="11">
        <v>1864708</v>
      </c>
      <c r="O53" s="11">
        <v>752966</v>
      </c>
      <c r="P53" s="17">
        <f t="shared" si="32"/>
        <v>0.40379834268957926</v>
      </c>
      <c r="Q53" s="11">
        <v>52923</v>
      </c>
      <c r="R53" s="17">
        <f t="shared" si="33"/>
        <v>1.549130741623328E-2</v>
      </c>
    </row>
    <row r="54" spans="1:18">
      <c r="A54" s="45" t="s">
        <v>28</v>
      </c>
      <c r="B54" s="46"/>
      <c r="C54" s="46"/>
      <c r="D54" s="46"/>
      <c r="E54" s="46"/>
      <c r="F54" s="47"/>
      <c r="G54" s="11">
        <v>14717948</v>
      </c>
      <c r="H54" s="11">
        <v>7566682</v>
      </c>
      <c r="I54" s="11">
        <v>59905</v>
      </c>
      <c r="J54" s="11">
        <f t="shared" si="28"/>
        <v>7506777</v>
      </c>
      <c r="K54" s="19">
        <f t="shared" si="29"/>
        <v>998252.125</v>
      </c>
      <c r="L54" s="10">
        <f t="shared" si="30"/>
        <v>255660.25</v>
      </c>
      <c r="M54" s="17">
        <f t="shared" si="31"/>
        <v>0.51411256514834813</v>
      </c>
      <c r="N54" s="11">
        <v>10031567</v>
      </c>
      <c r="O54" s="11">
        <v>3618711</v>
      </c>
      <c r="P54" s="17">
        <f t="shared" si="32"/>
        <v>0.3607323761083388</v>
      </c>
      <c r="Q54" s="11">
        <v>189099</v>
      </c>
      <c r="R54" s="17">
        <f t="shared" si="33"/>
        <v>1.3015784148012619E-2</v>
      </c>
    </row>
    <row r="55" spans="1:18">
      <c r="A55" s="45" t="s">
        <v>29</v>
      </c>
      <c r="B55" s="46"/>
      <c r="C55" s="46"/>
      <c r="D55" s="46"/>
      <c r="E55" s="46"/>
      <c r="F55" s="47"/>
      <c r="G55" s="11">
        <v>2869313</v>
      </c>
      <c r="H55" s="11">
        <v>331907</v>
      </c>
      <c r="I55" s="11">
        <v>6264</v>
      </c>
      <c r="J55" s="11">
        <f t="shared" si="28"/>
        <v>325643</v>
      </c>
      <c r="K55" s="19">
        <f t="shared" si="29"/>
        <v>46969.375</v>
      </c>
      <c r="L55" s="10">
        <f t="shared" si="30"/>
        <v>1082.625</v>
      </c>
      <c r="M55" s="17">
        <f t="shared" si="31"/>
        <v>0.11567472771356767</v>
      </c>
      <c r="N55" s="11">
        <v>1795156</v>
      </c>
      <c r="O55" s="11">
        <v>121793</v>
      </c>
      <c r="P55" s="17">
        <f t="shared" si="32"/>
        <v>6.784535717230146E-2</v>
      </c>
      <c r="Q55" s="11">
        <v>444</v>
      </c>
      <c r="R55" s="17">
        <f t="shared" si="33"/>
        <v>1.6042119958926393E-4</v>
      </c>
    </row>
    <row r="56" spans="1:18">
      <c r="A56" s="48" t="s">
        <v>30</v>
      </c>
      <c r="B56" s="49"/>
      <c r="C56" s="49"/>
      <c r="D56" s="49"/>
      <c r="E56" s="49"/>
      <c r="F56" s="50"/>
      <c r="G56" s="12">
        <f t="shared" ref="G56" si="34">SUM(G45:G55)</f>
        <v>143247879</v>
      </c>
      <c r="H56" s="12">
        <f t="shared" ref="H56:L56" si="35">SUM(H45:H55)</f>
        <v>47885673</v>
      </c>
      <c r="I56" s="12">
        <f t="shared" si="35"/>
        <v>1294936</v>
      </c>
      <c r="J56" s="12">
        <f t="shared" si="35"/>
        <v>46590737</v>
      </c>
      <c r="K56" s="20">
        <f t="shared" si="35"/>
        <v>7118778.125</v>
      </c>
      <c r="L56" s="13">
        <f t="shared" si="35"/>
        <v>1180295</v>
      </c>
      <c r="M56" s="18">
        <f t="shared" si="31"/>
        <v>0.33428538931456009</v>
      </c>
      <c r="N56" s="13">
        <f>SUM(N45:N55)</f>
        <v>77785399</v>
      </c>
      <c r="O56" s="21">
        <f>SUM(O45:O55)</f>
        <v>29581858</v>
      </c>
      <c r="P56" s="18">
        <f t="shared" si="32"/>
        <v>0.38030090968614816</v>
      </c>
      <c r="Q56" s="21">
        <f>SUM(Q45:Q55)</f>
        <v>1072946</v>
      </c>
      <c r="R56" s="18">
        <f t="shared" si="33"/>
        <v>7.5494710495580524E-3</v>
      </c>
    </row>
    <row r="57" spans="1:18" ht="14.5">
      <c r="A57" s="51" t="s">
        <v>70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spans="1:18" ht="26">
      <c r="A58" s="42" t="s">
        <v>1</v>
      </c>
      <c r="B58" s="43"/>
      <c r="C58" s="43"/>
      <c r="D58" s="43"/>
      <c r="E58" s="43"/>
      <c r="F58" s="43"/>
      <c r="G58" s="14" t="s">
        <v>71</v>
      </c>
      <c r="H58" s="14" t="s">
        <v>72</v>
      </c>
      <c r="I58" s="14" t="s">
        <v>73</v>
      </c>
      <c r="J58" s="14" t="s">
        <v>74</v>
      </c>
      <c r="K58" s="14" t="s">
        <v>75</v>
      </c>
      <c r="L58" s="14" t="s">
        <v>76</v>
      </c>
      <c r="M58" s="14" t="s">
        <v>77</v>
      </c>
      <c r="N58" s="14" t="s">
        <v>78</v>
      </c>
      <c r="O58" s="14" t="s">
        <v>79</v>
      </c>
      <c r="P58" s="14" t="s">
        <v>80</v>
      </c>
      <c r="Q58" s="14" t="s">
        <v>81</v>
      </c>
      <c r="R58" s="14" t="s">
        <v>82</v>
      </c>
    </row>
    <row r="59" spans="1:18">
      <c r="A59" s="45" t="s">
        <v>19</v>
      </c>
      <c r="B59" s="46"/>
      <c r="C59" s="46"/>
      <c r="D59" s="46"/>
      <c r="E59" s="46"/>
      <c r="F59" s="46"/>
      <c r="G59" s="15">
        <v>3946269</v>
      </c>
      <c r="H59" s="15">
        <v>999996</v>
      </c>
      <c r="I59" s="15">
        <v>12777</v>
      </c>
      <c r="J59" s="15">
        <f>H59-I59</f>
        <v>987219</v>
      </c>
      <c r="K59" s="22">
        <f>I59+J59/8</f>
        <v>136179.375</v>
      </c>
      <c r="L59" s="22">
        <f>K59-E3</f>
        <v>4435.75</v>
      </c>
      <c r="M59" s="17">
        <f>H59/G59</f>
        <v>0.25340289777508834</v>
      </c>
      <c r="N59" s="15">
        <v>1738146</v>
      </c>
      <c r="O59" s="15">
        <v>682625</v>
      </c>
      <c r="P59" s="17">
        <f>O59/N59</f>
        <v>0.39273168076789866</v>
      </c>
      <c r="Q59" s="15">
        <v>79186</v>
      </c>
      <c r="R59" s="17">
        <f>Q59/G45</f>
        <v>1.9698147151273691E-2</v>
      </c>
    </row>
    <row r="60" spans="1:18">
      <c r="A60" s="45" t="s">
        <v>20</v>
      </c>
      <c r="B60" s="46"/>
      <c r="C60" s="46"/>
      <c r="D60" s="46"/>
      <c r="E60" s="46"/>
      <c r="F60" s="46"/>
      <c r="G60" s="15">
        <v>34042692</v>
      </c>
      <c r="H60" s="15">
        <v>11407944</v>
      </c>
      <c r="I60" s="15">
        <v>911969</v>
      </c>
      <c r="J60" s="15">
        <f t="shared" ref="J60:J69" si="36">H60-I60</f>
        <v>10495975</v>
      </c>
      <c r="K60" s="22">
        <f t="shared" ref="K60:K69" si="37">I60+J60/8</f>
        <v>2223965.875</v>
      </c>
      <c r="L60" s="22">
        <f>K60-E4</f>
        <v>387879.625</v>
      </c>
      <c r="M60" s="17">
        <f t="shared" ref="M60:M70" si="38">H60/G60</f>
        <v>0.33510698860125399</v>
      </c>
      <c r="N60" s="15">
        <v>12960766</v>
      </c>
      <c r="O60" s="15">
        <v>7338205</v>
      </c>
      <c r="P60" s="17">
        <f>O60/N60</f>
        <v>0.56618605721297643</v>
      </c>
      <c r="Q60" s="15">
        <v>86055</v>
      </c>
      <c r="R60" s="17">
        <f>Q60/G46</f>
        <v>2.5423165495043437E-3</v>
      </c>
    </row>
    <row r="61" spans="1:18">
      <c r="A61" s="45" t="s">
        <v>21</v>
      </c>
      <c r="B61" s="46"/>
      <c r="C61" s="46"/>
      <c r="D61" s="46"/>
      <c r="E61" s="46"/>
      <c r="F61" s="46"/>
      <c r="G61" s="15">
        <v>7445016</v>
      </c>
      <c r="H61" s="15">
        <v>2636976</v>
      </c>
      <c r="I61" s="15">
        <v>28665</v>
      </c>
      <c r="J61" s="15">
        <f t="shared" si="36"/>
        <v>2608311</v>
      </c>
      <c r="K61" s="22">
        <f t="shared" si="37"/>
        <v>354703.875</v>
      </c>
      <c r="L61" s="22">
        <f t="shared" ref="L61:L69" si="39">K61-E5</f>
        <v>58254.125</v>
      </c>
      <c r="M61" s="17">
        <f t="shared" si="38"/>
        <v>0.35419346311680189</v>
      </c>
      <c r="N61" s="15">
        <v>4167922</v>
      </c>
      <c r="O61" s="15">
        <v>2194093</v>
      </c>
      <c r="P61" s="17">
        <f t="shared" ref="P61:P70" si="40">O61/N61</f>
        <v>0.52642371906192098</v>
      </c>
      <c r="Q61" s="15">
        <v>104366</v>
      </c>
      <c r="R61" s="17">
        <f t="shared" ref="R61:R70" si="41">Q61/G47</f>
        <v>1.4232065607741493E-2</v>
      </c>
    </row>
    <row r="62" spans="1:18">
      <c r="A62" s="45" t="s">
        <v>22</v>
      </c>
      <c r="B62" s="46"/>
      <c r="C62" s="46"/>
      <c r="D62" s="46"/>
      <c r="E62" s="46"/>
      <c r="F62" s="46"/>
      <c r="G62" s="15">
        <v>8862962</v>
      </c>
      <c r="H62" s="15">
        <v>2619203</v>
      </c>
      <c r="I62" s="15">
        <v>36516</v>
      </c>
      <c r="J62" s="15">
        <f t="shared" si="36"/>
        <v>2582687</v>
      </c>
      <c r="K62" s="22">
        <f t="shared" si="37"/>
        <v>359351.875</v>
      </c>
      <c r="L62" s="22">
        <f t="shared" si="39"/>
        <v>120931.5</v>
      </c>
      <c r="M62" s="17">
        <f t="shared" si="38"/>
        <v>0.29552230958453846</v>
      </c>
      <c r="N62" s="15">
        <v>6036911</v>
      </c>
      <c r="O62" s="15">
        <v>1281816</v>
      </c>
      <c r="P62" s="17">
        <f t="shared" si="40"/>
        <v>0.21232978256595136</v>
      </c>
      <c r="Q62" s="15">
        <v>6614</v>
      </c>
      <c r="R62" s="17">
        <f t="shared" si="41"/>
        <v>7.5015963859862832E-4</v>
      </c>
    </row>
    <row r="63" spans="1:18">
      <c r="A63" s="45" t="s">
        <v>23</v>
      </c>
      <c r="B63" s="46"/>
      <c r="C63" s="46"/>
      <c r="D63" s="46"/>
      <c r="E63" s="46"/>
      <c r="F63" s="46"/>
      <c r="G63" s="15">
        <v>19921079</v>
      </c>
      <c r="H63" s="15">
        <v>6466704</v>
      </c>
      <c r="I63" s="15">
        <v>98842</v>
      </c>
      <c r="J63" s="15">
        <f t="shared" si="36"/>
        <v>6367862</v>
      </c>
      <c r="K63" s="22">
        <f t="shared" si="37"/>
        <v>894824.75</v>
      </c>
      <c r="L63" s="22">
        <f t="shared" si="39"/>
        <v>254274.875</v>
      </c>
      <c r="M63" s="17">
        <f t="shared" si="38"/>
        <v>0.3246161515648826</v>
      </c>
      <c r="N63" s="15">
        <v>13232559</v>
      </c>
      <c r="O63" s="15">
        <v>4463010</v>
      </c>
      <c r="P63" s="17">
        <f t="shared" si="40"/>
        <v>0.33727489898212432</v>
      </c>
      <c r="Q63" s="15">
        <v>17583</v>
      </c>
      <c r="R63" s="17">
        <f t="shared" si="41"/>
        <v>8.8694155986805082E-4</v>
      </c>
    </row>
    <row r="64" spans="1:18">
      <c r="A64" s="45" t="s">
        <v>24</v>
      </c>
      <c r="B64" s="46"/>
      <c r="C64" s="46"/>
      <c r="D64" s="46"/>
      <c r="E64" s="46"/>
      <c r="F64" s="46"/>
      <c r="G64" s="15">
        <v>9314868</v>
      </c>
      <c r="H64" s="15">
        <v>1155563</v>
      </c>
      <c r="I64" s="15">
        <v>35908</v>
      </c>
      <c r="J64" s="15">
        <f t="shared" si="36"/>
        <v>1119655</v>
      </c>
      <c r="K64" s="22">
        <f t="shared" si="37"/>
        <v>175864.875</v>
      </c>
      <c r="L64" s="22">
        <f t="shared" si="39"/>
        <v>76099.5</v>
      </c>
      <c r="M64" s="17">
        <f t="shared" si="38"/>
        <v>0.12405575688243783</v>
      </c>
      <c r="N64" s="15">
        <v>4255715</v>
      </c>
      <c r="O64" s="15">
        <v>515953</v>
      </c>
      <c r="P64" s="17">
        <f t="shared" si="40"/>
        <v>0.12123767686510963</v>
      </c>
      <c r="Q64" s="15">
        <v>21955</v>
      </c>
      <c r="R64" s="17">
        <f t="shared" si="41"/>
        <v>2.4038751057956875E-3</v>
      </c>
    </row>
    <row r="65" spans="1:18">
      <c r="A65" s="45" t="s">
        <v>25</v>
      </c>
      <c r="B65" s="46"/>
      <c r="C65" s="46"/>
      <c r="D65" s="46"/>
      <c r="E65" s="46"/>
      <c r="F65" s="46"/>
      <c r="G65" s="15">
        <v>13746751</v>
      </c>
      <c r="H65" s="15">
        <v>3454075</v>
      </c>
      <c r="I65" s="15">
        <v>44480</v>
      </c>
      <c r="J65" s="15">
        <f t="shared" si="36"/>
        <v>3409595</v>
      </c>
      <c r="K65" s="22">
        <f t="shared" si="37"/>
        <v>470679.375</v>
      </c>
      <c r="L65" s="22">
        <f t="shared" si="39"/>
        <v>-31009</v>
      </c>
      <c r="M65" s="17">
        <f t="shared" si="38"/>
        <v>0.25126482613964563</v>
      </c>
      <c r="N65" s="15">
        <v>7772152</v>
      </c>
      <c r="O65" s="15">
        <v>2184600</v>
      </c>
      <c r="P65" s="17">
        <f t="shared" si="40"/>
        <v>0.2810804523637726</v>
      </c>
      <c r="Q65" s="15">
        <v>16396</v>
      </c>
      <c r="R65" s="17">
        <f t="shared" si="41"/>
        <v>1.2027443639330152E-3</v>
      </c>
    </row>
    <row r="66" spans="1:18">
      <c r="A66" s="45" t="s">
        <v>26</v>
      </c>
      <c r="B66" s="46"/>
      <c r="C66" s="46"/>
      <c r="D66" s="46"/>
      <c r="E66" s="46"/>
      <c r="F66" s="46"/>
      <c r="G66" s="15">
        <v>25626231</v>
      </c>
      <c r="H66" s="15">
        <v>9768498</v>
      </c>
      <c r="I66" s="15">
        <v>67460</v>
      </c>
      <c r="J66" s="15">
        <f t="shared" si="36"/>
        <v>9701038</v>
      </c>
      <c r="K66" s="22">
        <f t="shared" si="37"/>
        <v>1280089.75</v>
      </c>
      <c r="L66" s="22">
        <f t="shared" si="39"/>
        <v>-12871.125</v>
      </c>
      <c r="M66" s="17">
        <f t="shared" si="38"/>
        <v>0.38119136598745246</v>
      </c>
      <c r="N66" s="15">
        <v>14762877</v>
      </c>
      <c r="O66" s="15">
        <v>7080107</v>
      </c>
      <c r="P66" s="17">
        <f t="shared" si="40"/>
        <v>0.47958856529116917</v>
      </c>
      <c r="Q66" s="15">
        <v>140099</v>
      </c>
      <c r="R66" s="17">
        <f t="shared" si="41"/>
        <v>5.4640092385706421E-3</v>
      </c>
    </row>
    <row r="67" spans="1:18">
      <c r="A67" s="45" t="s">
        <v>27</v>
      </c>
      <c r="B67" s="46"/>
      <c r="C67" s="46"/>
      <c r="D67" s="46"/>
      <c r="E67" s="46"/>
      <c r="F67" s="46"/>
      <c r="G67" s="15">
        <v>3676030</v>
      </c>
      <c r="H67" s="15">
        <v>1125157</v>
      </c>
      <c r="I67" s="15">
        <v>20700</v>
      </c>
      <c r="J67" s="15">
        <f t="shared" si="36"/>
        <v>1104457</v>
      </c>
      <c r="K67" s="22">
        <f t="shared" si="37"/>
        <v>158757.125</v>
      </c>
      <c r="L67" s="22">
        <f t="shared" si="39"/>
        <v>46417.125</v>
      </c>
      <c r="M67" s="17">
        <f t="shared" si="38"/>
        <v>0.30607938455344491</v>
      </c>
      <c r="N67" s="15">
        <v>1862684</v>
      </c>
      <c r="O67" s="15">
        <v>742645</v>
      </c>
      <c r="P67" s="17">
        <f t="shared" si="40"/>
        <v>0.39869618249794381</v>
      </c>
      <c r="Q67" s="15">
        <v>18552</v>
      </c>
      <c r="R67" s="17">
        <f t="shared" si="41"/>
        <v>5.4377822102568089E-3</v>
      </c>
    </row>
    <row r="68" spans="1:18">
      <c r="A68" s="45" t="s">
        <v>28</v>
      </c>
      <c r="B68" s="46"/>
      <c r="C68" s="46"/>
      <c r="D68" s="46"/>
      <c r="E68" s="46"/>
      <c r="F68" s="46"/>
      <c r="G68" s="15">
        <v>14937657</v>
      </c>
      <c r="H68" s="15">
        <v>7694956</v>
      </c>
      <c r="I68" s="15">
        <v>59269</v>
      </c>
      <c r="J68" s="15">
        <f t="shared" si="36"/>
        <v>7635687</v>
      </c>
      <c r="K68" s="22">
        <f t="shared" si="37"/>
        <v>1013729.875</v>
      </c>
      <c r="L68" s="22">
        <f t="shared" si="39"/>
        <v>271138</v>
      </c>
      <c r="M68" s="17">
        <f t="shared" si="38"/>
        <v>0.51513808356959867</v>
      </c>
      <c r="N68" s="15">
        <v>10389145</v>
      </c>
      <c r="O68" s="15">
        <v>3684565</v>
      </c>
      <c r="P68" s="17">
        <f t="shared" si="40"/>
        <v>0.35465526758939259</v>
      </c>
      <c r="Q68" s="15">
        <v>122725</v>
      </c>
      <c r="R68" s="17">
        <f t="shared" si="41"/>
        <v>8.3384585949073872E-3</v>
      </c>
    </row>
    <row r="69" spans="1:18">
      <c r="A69" s="45" t="s">
        <v>29</v>
      </c>
      <c r="B69" s="46"/>
      <c r="C69" s="46"/>
      <c r="D69" s="46"/>
      <c r="E69" s="46"/>
      <c r="F69" s="46"/>
      <c r="G69" s="15">
        <v>2919510</v>
      </c>
      <c r="H69" s="15">
        <v>306231</v>
      </c>
      <c r="I69" s="15">
        <v>6320</v>
      </c>
      <c r="J69" s="15">
        <f t="shared" si="36"/>
        <v>299911</v>
      </c>
      <c r="K69" s="22">
        <f t="shared" si="37"/>
        <v>43808.875</v>
      </c>
      <c r="L69" s="22">
        <f t="shared" si="39"/>
        <v>-2077.875</v>
      </c>
      <c r="M69" s="17">
        <f t="shared" si="38"/>
        <v>0.1048912317477933</v>
      </c>
      <c r="N69" s="15">
        <v>1638063</v>
      </c>
      <c r="O69" s="15">
        <v>118762</v>
      </c>
      <c r="P69" s="17">
        <f t="shared" si="40"/>
        <v>7.2501484985620215E-2</v>
      </c>
      <c r="Q69" s="15">
        <v>1815</v>
      </c>
      <c r="R69" s="17">
        <f t="shared" si="41"/>
        <v>6.325555978033766E-4</v>
      </c>
    </row>
    <row r="70" spans="1:18">
      <c r="A70" s="48" t="s">
        <v>30</v>
      </c>
      <c r="B70" s="49"/>
      <c r="C70" s="49"/>
      <c r="D70" s="49"/>
      <c r="E70" s="49"/>
      <c r="F70" s="49"/>
      <c r="G70" s="12">
        <f t="shared" ref="G70" si="42">SUM(G59:G69)</f>
        <v>144439065</v>
      </c>
      <c r="H70" s="12">
        <f t="shared" ref="H70:L70" si="43">SUM(H59:H69)</f>
        <v>47635303</v>
      </c>
      <c r="I70" s="12">
        <f t="shared" si="43"/>
        <v>1322906</v>
      </c>
      <c r="J70" s="12">
        <f t="shared" si="43"/>
        <v>46312397</v>
      </c>
      <c r="K70" s="20">
        <f t="shared" si="43"/>
        <v>7111955.625</v>
      </c>
      <c r="L70" s="13">
        <f t="shared" si="43"/>
        <v>1173472.5</v>
      </c>
      <c r="M70" s="18">
        <f t="shared" si="38"/>
        <v>0.32979514925550091</v>
      </c>
      <c r="N70" s="13">
        <f>SUM(N59:N69)</f>
        <v>78816940</v>
      </c>
      <c r="O70" s="21">
        <f>SUM(O59:O69)</f>
        <v>30286381</v>
      </c>
      <c r="P70" s="18">
        <f t="shared" si="40"/>
        <v>0.3842623299001458</v>
      </c>
      <c r="Q70" s="21">
        <f>SUM(Q59:Q69)</f>
        <v>615346</v>
      </c>
      <c r="R70" s="18">
        <f t="shared" si="41"/>
        <v>4.2956726779877835E-3</v>
      </c>
    </row>
    <row r="71" spans="1:18" ht="14.5">
      <c r="A71" s="51" t="s">
        <v>83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spans="1:18" ht="26">
      <c r="A72" s="42" t="s">
        <v>1</v>
      </c>
      <c r="B72" s="43"/>
      <c r="C72" s="43"/>
      <c r="D72" s="43"/>
      <c r="E72" s="43"/>
      <c r="F72" s="43"/>
      <c r="G72" s="14" t="s">
        <v>84</v>
      </c>
      <c r="H72" s="14" t="s">
        <v>85</v>
      </c>
      <c r="I72" s="14" t="s">
        <v>86</v>
      </c>
      <c r="J72" s="14" t="s">
        <v>87</v>
      </c>
      <c r="K72" s="14" t="s">
        <v>88</v>
      </c>
      <c r="L72" s="14" t="s">
        <v>89</v>
      </c>
      <c r="M72" s="14" t="s">
        <v>90</v>
      </c>
      <c r="N72" s="14" t="s">
        <v>91</v>
      </c>
      <c r="O72" s="14" t="s">
        <v>92</v>
      </c>
      <c r="P72" s="14" t="s">
        <v>93</v>
      </c>
      <c r="Q72" s="14" t="s">
        <v>94</v>
      </c>
      <c r="R72" s="14" t="s">
        <v>95</v>
      </c>
    </row>
    <row r="73" spans="1:18">
      <c r="A73" s="45" t="s">
        <v>19</v>
      </c>
      <c r="B73" s="46"/>
      <c r="C73" s="46"/>
      <c r="D73" s="46"/>
      <c r="E73" s="46"/>
      <c r="F73" s="46"/>
      <c r="G73" s="23">
        <v>4382850</v>
      </c>
      <c r="H73" s="15">
        <v>998441</v>
      </c>
      <c r="I73" s="15">
        <v>13713</v>
      </c>
      <c r="J73" s="15">
        <f>H73-I73</f>
        <v>984728</v>
      </c>
      <c r="K73" s="22">
        <f>I73+J73/8</f>
        <v>136804</v>
      </c>
      <c r="L73" s="22">
        <f>K73-E3</f>
        <v>5060.375</v>
      </c>
      <c r="M73" s="17">
        <f>H73/G73</f>
        <v>0.22780633605986972</v>
      </c>
      <c r="N73" s="15">
        <v>1910050</v>
      </c>
      <c r="O73" s="15">
        <v>711107</v>
      </c>
      <c r="P73" s="17">
        <f>O73/N73</f>
        <v>0.37229758383288397</v>
      </c>
      <c r="Q73" s="15">
        <v>3773</v>
      </c>
      <c r="R73" s="17">
        <f>Q73/G59</f>
        <v>9.5609295767723891E-4</v>
      </c>
    </row>
    <row r="74" spans="1:18">
      <c r="A74" s="45" t="s">
        <v>20</v>
      </c>
      <c r="B74" s="46"/>
      <c r="C74" s="46"/>
      <c r="D74" s="46"/>
      <c r="E74" s="46"/>
      <c r="F74" s="46"/>
      <c r="G74" s="23">
        <v>35060432</v>
      </c>
      <c r="H74" s="15">
        <v>11492942</v>
      </c>
      <c r="I74" s="15">
        <v>974124</v>
      </c>
      <c r="J74" s="15">
        <f t="shared" ref="J74:J84" si="44">H74-I74</f>
        <v>10518818</v>
      </c>
      <c r="K74" s="22">
        <f t="shared" ref="K74:K84" si="45">I74+J74/8</f>
        <v>2288976.25</v>
      </c>
      <c r="L74" s="22">
        <f t="shared" ref="L74:L83" si="46">K74-E4</f>
        <v>452890</v>
      </c>
      <c r="M74" s="17">
        <f t="shared" ref="M74:M84" si="47">H74/G74</f>
        <v>0.32780377606299888</v>
      </c>
      <c r="N74" s="15">
        <v>13074681</v>
      </c>
      <c r="O74" s="15">
        <v>7428470</v>
      </c>
      <c r="P74" s="17">
        <f t="shared" ref="P74:P84" si="48">O74/N74</f>
        <v>0.56815688275683363</v>
      </c>
      <c r="Q74" s="15">
        <v>99222</v>
      </c>
      <c r="R74" s="17">
        <f>Q74/G60</f>
        <v>2.9146343655783741E-3</v>
      </c>
    </row>
    <row r="75" spans="1:18">
      <c r="A75" s="45" t="s">
        <v>21</v>
      </c>
      <c r="B75" s="46"/>
      <c r="C75" s="46"/>
      <c r="D75" s="46"/>
      <c r="E75" s="46"/>
      <c r="F75" s="46"/>
      <c r="G75" s="23">
        <v>7454797</v>
      </c>
      <c r="H75" s="15">
        <v>3496870</v>
      </c>
      <c r="I75" s="15">
        <v>28985</v>
      </c>
      <c r="J75" s="15">
        <f t="shared" si="44"/>
        <v>3467885</v>
      </c>
      <c r="K75" s="22">
        <f t="shared" si="45"/>
        <v>462470.625</v>
      </c>
      <c r="L75" s="22">
        <f t="shared" si="46"/>
        <v>166020.875</v>
      </c>
      <c r="M75" s="17">
        <f t="shared" si="47"/>
        <v>0.46907648860190293</v>
      </c>
      <c r="N75" s="15">
        <v>5034251</v>
      </c>
      <c r="O75" s="15">
        <v>2260671</v>
      </c>
      <c r="P75" s="17">
        <f t="shared" si="48"/>
        <v>0.44905806246053287</v>
      </c>
      <c r="Q75" s="15">
        <v>11612</v>
      </c>
      <c r="R75" s="17">
        <f t="shared" ref="R75:R84" si="49">Q75/G61</f>
        <v>1.5597011477208377E-3</v>
      </c>
    </row>
    <row r="76" spans="1:18">
      <c r="A76" s="45" t="s">
        <v>22</v>
      </c>
      <c r="B76" s="46"/>
      <c r="C76" s="46"/>
      <c r="D76" s="46"/>
      <c r="E76" s="46"/>
      <c r="F76" s="46"/>
      <c r="G76" s="23">
        <v>9194306</v>
      </c>
      <c r="H76" s="15">
        <v>2935124</v>
      </c>
      <c r="I76" s="15">
        <v>36883</v>
      </c>
      <c r="J76" s="15">
        <f t="shared" si="44"/>
        <v>2898241</v>
      </c>
      <c r="K76" s="22">
        <f t="shared" si="45"/>
        <v>399163.125</v>
      </c>
      <c r="L76" s="22">
        <f t="shared" si="46"/>
        <v>160742.75</v>
      </c>
      <c r="M76" s="17">
        <f t="shared" si="47"/>
        <v>0.31923279473186994</v>
      </c>
      <c r="N76" s="15">
        <v>6397272</v>
      </c>
      <c r="O76" s="15">
        <v>1307380</v>
      </c>
      <c r="P76" s="17">
        <f t="shared" si="48"/>
        <v>0.20436523568170933</v>
      </c>
      <c r="Q76" s="15">
        <v>7481</v>
      </c>
      <c r="R76" s="17">
        <f t="shared" si="49"/>
        <v>8.4407447532777421E-4</v>
      </c>
    </row>
    <row r="77" spans="1:18">
      <c r="A77" s="45" t="s">
        <v>23</v>
      </c>
      <c r="B77" s="46"/>
      <c r="C77" s="46"/>
      <c r="D77" s="46"/>
      <c r="E77" s="46"/>
      <c r="F77" s="46"/>
      <c r="G77" s="23">
        <v>19984120</v>
      </c>
      <c r="H77" s="15">
        <v>6538008</v>
      </c>
      <c r="I77" s="15">
        <v>101960</v>
      </c>
      <c r="J77" s="15">
        <f t="shared" si="44"/>
        <v>6436048</v>
      </c>
      <c r="K77" s="22">
        <f t="shared" si="45"/>
        <v>906466</v>
      </c>
      <c r="L77" s="22">
        <f t="shared" si="46"/>
        <v>265916.125</v>
      </c>
      <c r="M77" s="17">
        <f t="shared" si="47"/>
        <v>0.32716016517114588</v>
      </c>
      <c r="N77" s="15">
        <v>13337625</v>
      </c>
      <c r="O77" s="15">
        <v>4518764</v>
      </c>
      <c r="P77" s="17">
        <f t="shared" si="48"/>
        <v>0.33879824931350222</v>
      </c>
      <c r="Q77" s="15">
        <v>108314</v>
      </c>
      <c r="R77" s="17">
        <f t="shared" si="49"/>
        <v>5.4371552866187617E-3</v>
      </c>
    </row>
    <row r="78" spans="1:18">
      <c r="A78" s="45" t="s">
        <v>24</v>
      </c>
      <c r="B78" s="46"/>
      <c r="C78" s="46"/>
      <c r="D78" s="46"/>
      <c r="E78" s="46"/>
      <c r="F78" s="46"/>
      <c r="G78" s="23">
        <v>9661904</v>
      </c>
      <c r="H78" s="15">
        <v>1154360</v>
      </c>
      <c r="I78" s="15">
        <v>36797</v>
      </c>
      <c r="J78" s="15">
        <f t="shared" si="44"/>
        <v>1117563</v>
      </c>
      <c r="K78" s="22">
        <f t="shared" si="45"/>
        <v>176492.375</v>
      </c>
      <c r="L78" s="22">
        <f t="shared" si="46"/>
        <v>76727</v>
      </c>
      <c r="M78" s="17">
        <f t="shared" si="47"/>
        <v>0.1194754160256612</v>
      </c>
      <c r="N78" s="15">
        <v>4259569</v>
      </c>
      <c r="O78" s="15">
        <v>501571</v>
      </c>
      <c r="P78" s="17">
        <f t="shared" si="48"/>
        <v>0.11775158472606032</v>
      </c>
      <c r="Q78" s="15">
        <v>9410</v>
      </c>
      <c r="R78" s="17">
        <f t="shared" si="49"/>
        <v>1.0102129198180801E-3</v>
      </c>
    </row>
    <row r="79" spans="1:18">
      <c r="A79" s="45" t="s">
        <v>25</v>
      </c>
      <c r="B79" s="46"/>
      <c r="C79" s="46"/>
      <c r="D79" s="46"/>
      <c r="E79" s="46"/>
      <c r="F79" s="46"/>
      <c r="G79" s="23">
        <v>13997886</v>
      </c>
      <c r="H79" s="15">
        <v>3458725</v>
      </c>
      <c r="I79" s="15">
        <v>44138</v>
      </c>
      <c r="J79" s="15">
        <f t="shared" si="44"/>
        <v>3414587</v>
      </c>
      <c r="K79" s="22">
        <f t="shared" si="45"/>
        <v>470961.375</v>
      </c>
      <c r="L79" s="22">
        <f t="shared" si="46"/>
        <v>-30727</v>
      </c>
      <c r="M79" s="17">
        <f t="shared" si="47"/>
        <v>0.24708909616780705</v>
      </c>
      <c r="N79" s="15">
        <v>7936408</v>
      </c>
      <c r="O79" s="15">
        <v>2191379</v>
      </c>
      <c r="P79" s="17">
        <f t="shared" si="48"/>
        <v>0.27611723086817108</v>
      </c>
      <c r="Q79" s="15">
        <v>60937</v>
      </c>
      <c r="R79" s="17">
        <f t="shared" si="49"/>
        <v>4.4328292554364299E-3</v>
      </c>
    </row>
    <row r="80" spans="1:18">
      <c r="A80" s="45" t="s">
        <v>26</v>
      </c>
      <c r="B80" s="46"/>
      <c r="C80" s="46"/>
      <c r="D80" s="46"/>
      <c r="E80" s="46"/>
      <c r="F80" s="46"/>
      <c r="G80" s="23">
        <v>25678985</v>
      </c>
      <c r="H80" s="15">
        <v>10910933</v>
      </c>
      <c r="I80" s="15">
        <v>69524</v>
      </c>
      <c r="J80" s="15">
        <f t="shared" si="44"/>
        <v>10841409</v>
      </c>
      <c r="K80" s="22">
        <f t="shared" si="45"/>
        <v>1424700.125</v>
      </c>
      <c r="L80" s="22">
        <f t="shared" si="46"/>
        <v>131739.25</v>
      </c>
      <c r="M80" s="17">
        <f t="shared" si="47"/>
        <v>0.42489736257098948</v>
      </c>
      <c r="N80" s="15">
        <v>14932824</v>
      </c>
      <c r="O80" s="15">
        <v>7067649</v>
      </c>
      <c r="P80" s="17">
        <f t="shared" si="48"/>
        <v>0.47329620974572528</v>
      </c>
      <c r="Q80" s="15">
        <v>196388</v>
      </c>
      <c r="R80" s="17">
        <f t="shared" si="49"/>
        <v>7.6635538015715227E-3</v>
      </c>
    </row>
    <row r="81" spans="1:18">
      <c r="A81" s="45" t="s">
        <v>27</v>
      </c>
      <c r="B81" s="46"/>
      <c r="C81" s="46"/>
      <c r="D81" s="46"/>
      <c r="E81" s="46"/>
      <c r="F81" s="46"/>
      <c r="G81" s="23">
        <v>4037904</v>
      </c>
      <c r="H81" s="15">
        <v>1143340</v>
      </c>
      <c r="I81" s="15">
        <v>20902</v>
      </c>
      <c r="J81" s="15">
        <f t="shared" si="44"/>
        <v>1122438</v>
      </c>
      <c r="K81" s="22">
        <f t="shared" si="45"/>
        <v>161206.75</v>
      </c>
      <c r="L81" s="22">
        <f t="shared" si="46"/>
        <v>48866.75</v>
      </c>
      <c r="M81" s="17">
        <f t="shared" si="47"/>
        <v>0.28315185304058738</v>
      </c>
      <c r="N81" s="15">
        <v>1802008</v>
      </c>
      <c r="O81" s="15">
        <v>726550</v>
      </c>
      <c r="P81" s="17">
        <f t="shared" si="48"/>
        <v>0.40318910903836164</v>
      </c>
      <c r="Q81" s="15">
        <v>5661</v>
      </c>
      <c r="R81" s="17">
        <f t="shared" si="49"/>
        <v>1.5399765507898466E-3</v>
      </c>
    </row>
    <row r="82" spans="1:18">
      <c r="A82" s="45" t="s">
        <v>28</v>
      </c>
      <c r="B82" s="46"/>
      <c r="C82" s="46"/>
      <c r="D82" s="46"/>
      <c r="E82" s="46"/>
      <c r="F82" s="46"/>
      <c r="G82" s="23">
        <v>15249599</v>
      </c>
      <c r="H82" s="15">
        <v>7628924</v>
      </c>
      <c r="I82" s="15">
        <v>60693</v>
      </c>
      <c r="J82" s="15">
        <f t="shared" si="44"/>
        <v>7568231</v>
      </c>
      <c r="K82" s="22">
        <f t="shared" si="45"/>
        <v>1006721.875</v>
      </c>
      <c r="L82" s="22">
        <f t="shared" si="46"/>
        <v>264130</v>
      </c>
      <c r="M82" s="17">
        <f t="shared" si="47"/>
        <v>0.50027046612832249</v>
      </c>
      <c r="N82" s="15">
        <v>10706402</v>
      </c>
      <c r="O82" s="15">
        <v>3746064</v>
      </c>
      <c r="P82" s="17">
        <f t="shared" si="48"/>
        <v>0.34989009379621649</v>
      </c>
      <c r="Q82" s="15">
        <v>56347</v>
      </c>
      <c r="R82" s="17">
        <f t="shared" si="49"/>
        <v>3.7721444534440708E-3</v>
      </c>
    </row>
    <row r="83" spans="1:18">
      <c r="A83" s="45" t="s">
        <v>29</v>
      </c>
      <c r="B83" s="46"/>
      <c r="C83" s="46"/>
      <c r="D83" s="46"/>
      <c r="E83" s="46"/>
      <c r="F83" s="46"/>
      <c r="G83" s="23">
        <v>2969442</v>
      </c>
      <c r="H83" s="15">
        <v>306061</v>
      </c>
      <c r="I83" s="15">
        <v>6484</v>
      </c>
      <c r="J83" s="15">
        <f t="shared" si="44"/>
        <v>299577</v>
      </c>
      <c r="K83" s="22">
        <f t="shared" si="45"/>
        <v>43931.125</v>
      </c>
      <c r="L83" s="22">
        <f t="shared" si="46"/>
        <v>-1955.625</v>
      </c>
      <c r="M83" s="17">
        <f t="shared" si="47"/>
        <v>0.10307020645629718</v>
      </c>
      <c r="N83" s="15">
        <v>1670394</v>
      </c>
      <c r="O83" s="15">
        <v>113517</v>
      </c>
      <c r="P83" s="17">
        <f t="shared" si="48"/>
        <v>6.795821824072644E-2</v>
      </c>
      <c r="Q83" s="15">
        <v>521</v>
      </c>
      <c r="R83" s="17">
        <f t="shared" si="49"/>
        <v>1.7845460368349483E-4</v>
      </c>
    </row>
    <row r="84" spans="1:18">
      <c r="A84" s="48" t="s">
        <v>30</v>
      </c>
      <c r="B84" s="49"/>
      <c r="C84" s="49"/>
      <c r="D84" s="49"/>
      <c r="E84" s="49"/>
      <c r="F84" s="49"/>
      <c r="G84" s="12">
        <f t="shared" ref="G84" si="50">SUM(G73:G83)</f>
        <v>147672225</v>
      </c>
      <c r="H84" s="12">
        <f t="shared" ref="H84:I84" si="51">SUM(H73:H83)</f>
        <v>50063728</v>
      </c>
      <c r="I84" s="12">
        <f t="shared" si="51"/>
        <v>1394203</v>
      </c>
      <c r="J84" s="24">
        <f t="shared" si="44"/>
        <v>48669525</v>
      </c>
      <c r="K84" s="25">
        <f t="shared" si="45"/>
        <v>7477893.625</v>
      </c>
      <c r="L84" s="13">
        <f>SUM(L73:L83)</f>
        <v>1539410.5</v>
      </c>
      <c r="M84" s="18">
        <f t="shared" si="47"/>
        <v>0.33901925700652241</v>
      </c>
      <c r="N84" s="13">
        <f>SUM(N73:N83)</f>
        <v>81061484</v>
      </c>
      <c r="O84" s="21">
        <f>SUM(O73:O83)</f>
        <v>30573122</v>
      </c>
      <c r="P84" s="18">
        <f t="shared" si="48"/>
        <v>0.3771596631514913</v>
      </c>
      <c r="Q84" s="21">
        <f>SUM(Q73:Q83)</f>
        <v>559666</v>
      </c>
      <c r="R84" s="18">
        <f t="shared" si="49"/>
        <v>3.8747550740514695E-3</v>
      </c>
    </row>
    <row r="85" spans="1:18" ht="14.5">
      <c r="A85" s="51" t="s">
        <v>96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spans="1:18" ht="26">
      <c r="A86" s="52" t="s">
        <v>1</v>
      </c>
      <c r="B86" s="52"/>
      <c r="C86" s="52"/>
      <c r="D86" s="52"/>
      <c r="E86" s="52"/>
      <c r="F86" s="52"/>
      <c r="G86" s="14" t="s">
        <v>97</v>
      </c>
      <c r="H86" s="14" t="s">
        <v>98</v>
      </c>
      <c r="I86" s="14" t="s">
        <v>99</v>
      </c>
      <c r="J86" s="14" t="s">
        <v>100</v>
      </c>
      <c r="K86" s="14" t="s">
        <v>101</v>
      </c>
      <c r="L86" s="14" t="s">
        <v>102</v>
      </c>
      <c r="M86" s="14" t="s">
        <v>103</v>
      </c>
      <c r="N86" s="14" t="s">
        <v>104</v>
      </c>
      <c r="O86" s="14" t="s">
        <v>105</v>
      </c>
      <c r="P86" s="14" t="s">
        <v>106</v>
      </c>
      <c r="Q86" s="14" t="s">
        <v>107</v>
      </c>
      <c r="R86" s="14" t="s">
        <v>108</v>
      </c>
    </row>
    <row r="87" spans="1:18">
      <c r="A87" s="53" t="s">
        <v>19</v>
      </c>
      <c r="B87" s="53"/>
      <c r="C87" s="53"/>
      <c r="D87" s="53"/>
      <c r="E87" s="53"/>
      <c r="F87" s="53"/>
      <c r="G87" s="15">
        <v>4369377</v>
      </c>
      <c r="H87" s="15">
        <v>998225</v>
      </c>
      <c r="I87" s="15">
        <v>13958</v>
      </c>
      <c r="J87" s="15">
        <f>H87-I87</f>
        <v>984267</v>
      </c>
      <c r="K87" s="22">
        <f>I87+J87/8</f>
        <v>136991.375</v>
      </c>
      <c r="L87" s="22">
        <f>K87-E3</f>
        <v>5247.75</v>
      </c>
      <c r="M87" s="17">
        <f>H87/G87</f>
        <v>0.22845934328852832</v>
      </c>
      <c r="N87" s="15">
        <v>1916978</v>
      </c>
      <c r="O87" s="15">
        <v>750083</v>
      </c>
      <c r="P87" s="17">
        <f>O87/N87</f>
        <v>0.39128409402716152</v>
      </c>
      <c r="Q87" s="15">
        <v>26340</v>
      </c>
      <c r="R87" s="17">
        <f>Q87/G73</f>
        <v>6.0097881515452272E-3</v>
      </c>
    </row>
    <row r="88" spans="1:18">
      <c r="A88" s="53" t="s">
        <v>20</v>
      </c>
      <c r="B88" s="53"/>
      <c r="C88" s="53"/>
      <c r="D88" s="53"/>
      <c r="E88" s="53"/>
      <c r="F88" s="53"/>
      <c r="G88" s="15">
        <v>33882675</v>
      </c>
      <c r="H88" s="15">
        <v>11563661</v>
      </c>
      <c r="I88" s="15">
        <v>959131</v>
      </c>
      <c r="J88" s="15">
        <f t="shared" ref="J88:J98" si="52">H88-I88</f>
        <v>10604530</v>
      </c>
      <c r="K88" s="22">
        <f t="shared" ref="K88:K98" si="53">I88+J88/8</f>
        <v>2284697.25</v>
      </c>
      <c r="L88" s="22">
        <f>K88-E4</f>
        <v>448611</v>
      </c>
      <c r="M88" s="17">
        <f t="shared" ref="M88:M98" si="54">H88/G88</f>
        <v>0.34128536191431169</v>
      </c>
      <c r="N88" s="15">
        <v>13254016</v>
      </c>
      <c r="O88" s="15">
        <v>7728770</v>
      </c>
      <c r="P88" s="17">
        <f t="shared" ref="P88:P98" si="55">O88/N88</f>
        <v>0.5831266538383536</v>
      </c>
      <c r="Q88" s="15">
        <v>1510245</v>
      </c>
      <c r="R88" s="17">
        <f>Q88/G74</f>
        <v>4.3075481785278633E-2</v>
      </c>
    </row>
    <row r="89" spans="1:18">
      <c r="A89" s="53" t="s">
        <v>21</v>
      </c>
      <c r="B89" s="53"/>
      <c r="C89" s="53"/>
      <c r="D89" s="53"/>
      <c r="E89" s="53"/>
      <c r="F89" s="53"/>
      <c r="G89" s="15">
        <v>7463675</v>
      </c>
      <c r="H89" s="15">
        <v>3523545</v>
      </c>
      <c r="I89" s="15">
        <v>28794</v>
      </c>
      <c r="J89" s="15">
        <f t="shared" si="52"/>
        <v>3494751</v>
      </c>
      <c r="K89" s="22">
        <f t="shared" si="53"/>
        <v>465637.875</v>
      </c>
      <c r="L89" s="22">
        <f t="shared" ref="L89:L97" si="56">K89-E5</f>
        <v>169188.125</v>
      </c>
      <c r="M89" s="17">
        <f t="shared" si="54"/>
        <v>0.47209250134819641</v>
      </c>
      <c r="N89" s="15">
        <v>4694227</v>
      </c>
      <c r="O89" s="15">
        <v>2411513</v>
      </c>
      <c r="P89" s="17">
        <f t="shared" si="55"/>
        <v>0.51371887213805378</v>
      </c>
      <c r="Q89" s="15">
        <v>161153</v>
      </c>
      <c r="R89" s="17">
        <f t="shared" ref="R89:R98" si="57">Q89/G75</f>
        <v>2.1617355911904779E-2</v>
      </c>
    </row>
    <row r="90" spans="1:18">
      <c r="A90" s="53" t="s">
        <v>22</v>
      </c>
      <c r="B90" s="53"/>
      <c r="C90" s="53"/>
      <c r="D90" s="53"/>
      <c r="E90" s="53"/>
      <c r="F90" s="53"/>
      <c r="G90" s="15">
        <v>9262105</v>
      </c>
      <c r="H90" s="15">
        <v>2902443</v>
      </c>
      <c r="I90" s="15">
        <v>38746</v>
      </c>
      <c r="J90" s="15">
        <f t="shared" si="52"/>
        <v>2863697</v>
      </c>
      <c r="K90" s="22">
        <f t="shared" si="53"/>
        <v>396708.125</v>
      </c>
      <c r="L90" s="22">
        <f t="shared" si="56"/>
        <v>158287.75</v>
      </c>
      <c r="M90" s="17">
        <f t="shared" si="54"/>
        <v>0.31336753362221653</v>
      </c>
      <c r="N90" s="15">
        <v>6326017</v>
      </c>
      <c r="O90" s="15">
        <v>1431128</v>
      </c>
      <c r="P90" s="17">
        <f t="shared" si="55"/>
        <v>0.22622892097823954</v>
      </c>
      <c r="Q90" s="15">
        <v>77300</v>
      </c>
      <c r="R90" s="17">
        <f t="shared" si="57"/>
        <v>8.4073773485459375E-3</v>
      </c>
    </row>
    <row r="91" spans="1:18">
      <c r="A91" s="53" t="s">
        <v>23</v>
      </c>
      <c r="B91" s="53"/>
      <c r="C91" s="53"/>
      <c r="D91" s="53"/>
      <c r="E91" s="53"/>
      <c r="F91" s="53"/>
      <c r="G91" s="15">
        <v>20022474</v>
      </c>
      <c r="H91" s="15">
        <v>6530408</v>
      </c>
      <c r="I91" s="15">
        <v>105779</v>
      </c>
      <c r="J91" s="15">
        <f t="shared" si="52"/>
        <v>6424629</v>
      </c>
      <c r="K91" s="22">
        <f t="shared" si="53"/>
        <v>908857.625</v>
      </c>
      <c r="L91" s="22">
        <f t="shared" si="56"/>
        <v>268307.75</v>
      </c>
      <c r="M91" s="17">
        <f t="shared" si="54"/>
        <v>0.32615390086160184</v>
      </c>
      <c r="N91" s="15">
        <v>13329358</v>
      </c>
      <c r="O91" s="15">
        <v>4637017</v>
      </c>
      <c r="P91" s="17">
        <f t="shared" si="55"/>
        <v>0.34787999542063464</v>
      </c>
      <c r="Q91" s="15">
        <v>163067</v>
      </c>
      <c r="R91" s="17">
        <f t="shared" si="57"/>
        <v>8.1598289041498948E-3</v>
      </c>
    </row>
    <row r="92" spans="1:18">
      <c r="A92" s="53" t="s">
        <v>24</v>
      </c>
      <c r="B92" s="53"/>
      <c r="C92" s="53"/>
      <c r="D92" s="53"/>
      <c r="E92" s="53"/>
      <c r="F92" s="53"/>
      <c r="G92" s="15">
        <v>9703575</v>
      </c>
      <c r="H92" s="15">
        <v>1114643</v>
      </c>
      <c r="I92" s="15">
        <v>38345</v>
      </c>
      <c r="J92" s="15">
        <f t="shared" si="52"/>
        <v>1076298</v>
      </c>
      <c r="K92" s="22">
        <f t="shared" si="53"/>
        <v>172882.25</v>
      </c>
      <c r="L92" s="22">
        <f t="shared" si="56"/>
        <v>73116.875</v>
      </c>
      <c r="M92" s="17">
        <f t="shared" si="54"/>
        <v>0.11486931362925519</v>
      </c>
      <c r="N92" s="15">
        <v>4388392</v>
      </c>
      <c r="O92" s="15">
        <v>495009</v>
      </c>
      <c r="P92" s="17">
        <f t="shared" si="55"/>
        <v>0.11279963139117928</v>
      </c>
      <c r="Q92" s="15">
        <v>13582</v>
      </c>
      <c r="R92" s="17">
        <f t="shared" si="57"/>
        <v>1.405727069943978E-3</v>
      </c>
    </row>
    <row r="93" spans="1:18">
      <c r="A93" s="53" t="s">
        <v>25</v>
      </c>
      <c r="B93" s="53"/>
      <c r="C93" s="53"/>
      <c r="D93" s="53"/>
      <c r="E93" s="53"/>
      <c r="F93" s="53"/>
      <c r="G93" s="15">
        <v>14058978</v>
      </c>
      <c r="H93" s="15">
        <v>3183026</v>
      </c>
      <c r="I93" s="15">
        <v>45723</v>
      </c>
      <c r="J93" s="15">
        <f t="shared" si="52"/>
        <v>3137303</v>
      </c>
      <c r="K93" s="22">
        <f t="shared" si="53"/>
        <v>437885.875</v>
      </c>
      <c r="L93" s="22">
        <f t="shared" si="56"/>
        <v>-63802.5</v>
      </c>
      <c r="M93" s="17">
        <f t="shared" si="54"/>
        <v>0.22640521949746276</v>
      </c>
      <c r="N93" s="15">
        <v>7552070</v>
      </c>
      <c r="O93" s="15">
        <v>2234736</v>
      </c>
      <c r="P93" s="17">
        <f t="shared" si="55"/>
        <v>0.29591039277972792</v>
      </c>
      <c r="Q93" s="15">
        <v>59818</v>
      </c>
      <c r="R93" s="17">
        <f t="shared" si="57"/>
        <v>4.2733595630082997E-3</v>
      </c>
    </row>
    <row r="94" spans="1:18">
      <c r="A94" s="53" t="s">
        <v>26</v>
      </c>
      <c r="B94" s="53"/>
      <c r="C94" s="53"/>
      <c r="D94" s="53"/>
      <c r="E94" s="53"/>
      <c r="F94" s="53"/>
      <c r="G94" s="15">
        <v>25818295</v>
      </c>
      <c r="H94" s="15">
        <v>10012594</v>
      </c>
      <c r="I94" s="15">
        <v>72751</v>
      </c>
      <c r="J94" s="15">
        <f t="shared" si="52"/>
        <v>9939843</v>
      </c>
      <c r="K94" s="22">
        <f t="shared" si="53"/>
        <v>1315231.375</v>
      </c>
      <c r="L94" s="22">
        <f t="shared" si="56"/>
        <v>22270.5</v>
      </c>
      <c r="M94" s="17">
        <f t="shared" si="54"/>
        <v>0.38781003935387676</v>
      </c>
      <c r="N94" s="15">
        <v>15244930</v>
      </c>
      <c r="O94" s="15">
        <v>7121290</v>
      </c>
      <c r="P94" s="17">
        <f t="shared" si="55"/>
        <v>0.46712513602883055</v>
      </c>
      <c r="Q94" s="15">
        <v>133762</v>
      </c>
      <c r="R94" s="17">
        <f t="shared" si="57"/>
        <v>5.2090065086295269E-3</v>
      </c>
    </row>
    <row r="95" spans="1:18">
      <c r="A95" s="53" t="s">
        <v>27</v>
      </c>
      <c r="B95" s="53"/>
      <c r="C95" s="53"/>
      <c r="D95" s="53"/>
      <c r="E95" s="53"/>
      <c r="F95" s="53"/>
      <c r="G95" s="15">
        <v>4044113</v>
      </c>
      <c r="H95" s="15">
        <v>1145147</v>
      </c>
      <c r="I95" s="15">
        <v>21342</v>
      </c>
      <c r="J95" s="15">
        <f t="shared" si="52"/>
        <v>1123805</v>
      </c>
      <c r="K95" s="22">
        <f t="shared" si="53"/>
        <v>161817.625</v>
      </c>
      <c r="L95" s="22">
        <f t="shared" si="56"/>
        <v>49477.625</v>
      </c>
      <c r="M95" s="17">
        <f t="shared" si="54"/>
        <v>0.28316394719929933</v>
      </c>
      <c r="N95" s="15">
        <v>1830116</v>
      </c>
      <c r="O95" s="15">
        <v>702098</v>
      </c>
      <c r="P95" s="17">
        <f t="shared" si="55"/>
        <v>0.38363579139245818</v>
      </c>
      <c r="Q95" s="15">
        <v>61452</v>
      </c>
      <c r="R95" s="17">
        <f t="shared" si="57"/>
        <v>1.521878677650583E-2</v>
      </c>
    </row>
    <row r="96" spans="1:18">
      <c r="A96" s="53" t="s">
        <v>28</v>
      </c>
      <c r="B96" s="53"/>
      <c r="C96" s="53"/>
      <c r="D96" s="53"/>
      <c r="E96" s="53"/>
      <c r="F96" s="53"/>
      <c r="G96" s="15">
        <v>15748418</v>
      </c>
      <c r="H96" s="15">
        <v>7871164</v>
      </c>
      <c r="I96" s="15">
        <v>61381</v>
      </c>
      <c r="J96" s="15">
        <f t="shared" si="52"/>
        <v>7809783</v>
      </c>
      <c r="K96" s="22">
        <f t="shared" si="53"/>
        <v>1037603.875</v>
      </c>
      <c r="L96" s="22">
        <f t="shared" si="56"/>
        <v>295012</v>
      </c>
      <c r="M96" s="17">
        <f t="shared" si="54"/>
        <v>0.49980664724545665</v>
      </c>
      <c r="N96" s="15">
        <v>11056012</v>
      </c>
      <c r="O96" s="15">
        <v>4053539</v>
      </c>
      <c r="P96" s="17">
        <f t="shared" si="55"/>
        <v>0.36663663172579769</v>
      </c>
      <c r="Q96" s="15">
        <v>19109</v>
      </c>
      <c r="R96" s="17">
        <f t="shared" si="57"/>
        <v>1.2530821302251948E-3</v>
      </c>
    </row>
    <row r="97" spans="1:18">
      <c r="A97" s="53" t="s">
        <v>29</v>
      </c>
      <c r="B97" s="53"/>
      <c r="C97" s="53"/>
      <c r="D97" s="53"/>
      <c r="E97" s="53"/>
      <c r="F97" s="53"/>
      <c r="G97" s="15">
        <v>2970142</v>
      </c>
      <c r="H97" s="15">
        <v>324109</v>
      </c>
      <c r="I97" s="15">
        <v>6605</v>
      </c>
      <c r="J97" s="15">
        <f t="shared" si="52"/>
        <v>317504</v>
      </c>
      <c r="K97" s="22">
        <f t="shared" si="53"/>
        <v>46293</v>
      </c>
      <c r="L97" s="22">
        <f t="shared" si="56"/>
        <v>406.25</v>
      </c>
      <c r="M97" s="17">
        <f t="shared" si="54"/>
        <v>0.10912239212805314</v>
      </c>
      <c r="N97" s="15">
        <v>1711218</v>
      </c>
      <c r="O97" s="15">
        <v>113633</v>
      </c>
      <c r="P97" s="17">
        <f t="shared" si="55"/>
        <v>6.6404747963146715E-2</v>
      </c>
      <c r="Q97" s="15">
        <v>1738</v>
      </c>
      <c r="R97" s="17">
        <f t="shared" si="57"/>
        <v>5.8529514972846747E-4</v>
      </c>
    </row>
    <row r="98" spans="1:18">
      <c r="A98" s="54" t="s">
        <v>30</v>
      </c>
      <c r="B98" s="54"/>
      <c r="C98" s="54"/>
      <c r="D98" s="54"/>
      <c r="E98" s="54"/>
      <c r="F98" s="54"/>
      <c r="G98" s="12">
        <f>SUM(G87:G97)</f>
        <v>147343827</v>
      </c>
      <c r="H98" s="15">
        <f>SUM(H87:H97)</f>
        <v>49168965</v>
      </c>
      <c r="I98" s="15">
        <f>SUM(I87:I97)</f>
        <v>1392555</v>
      </c>
      <c r="J98" s="15">
        <f t="shared" si="52"/>
        <v>47776410</v>
      </c>
      <c r="K98" s="22">
        <f t="shared" si="53"/>
        <v>7364606.25</v>
      </c>
      <c r="L98" s="22">
        <f>K98-E14</f>
        <v>1426123.125</v>
      </c>
      <c r="M98" s="18">
        <f t="shared" si="54"/>
        <v>0.33370223918508646</v>
      </c>
      <c r="N98" s="13">
        <f>SUM(N87:N97)</f>
        <v>81303334</v>
      </c>
      <c r="O98" s="21">
        <f>SUM(O87:O97)</f>
        <v>31678816</v>
      </c>
      <c r="P98" s="18">
        <f t="shared" si="55"/>
        <v>0.38963735484697343</v>
      </c>
      <c r="Q98" s="21">
        <f>SUM(Q87:Q97)</f>
        <v>2227566</v>
      </c>
      <c r="R98" s="18">
        <f t="shared" si="57"/>
        <v>1.5084529267436716E-2</v>
      </c>
    </row>
  </sheetData>
  <mergeCells count="85">
    <mergeCell ref="A94:F94"/>
    <mergeCell ref="A95:F95"/>
    <mergeCell ref="A96:F96"/>
    <mergeCell ref="A97:F97"/>
    <mergeCell ref="A98:F98"/>
    <mergeCell ref="A89:F89"/>
    <mergeCell ref="A90:F90"/>
    <mergeCell ref="A91:F91"/>
    <mergeCell ref="A92:F92"/>
    <mergeCell ref="A93:F93"/>
    <mergeCell ref="A84:F84"/>
    <mergeCell ref="A85:R85"/>
    <mergeCell ref="A86:F86"/>
    <mergeCell ref="A87:F87"/>
    <mergeCell ref="A88:F88"/>
    <mergeCell ref="A79:F79"/>
    <mergeCell ref="A80:F80"/>
    <mergeCell ref="A81:F81"/>
    <mergeCell ref="A82:F82"/>
    <mergeCell ref="A83:F83"/>
    <mergeCell ref="A74:F74"/>
    <mergeCell ref="A75:F75"/>
    <mergeCell ref="A76:F76"/>
    <mergeCell ref="A77:F77"/>
    <mergeCell ref="A78:F78"/>
    <mergeCell ref="A69:F69"/>
    <mergeCell ref="A70:F70"/>
    <mergeCell ref="A71:R71"/>
    <mergeCell ref="A72:F72"/>
    <mergeCell ref="A73:F73"/>
    <mergeCell ref="A64:F64"/>
    <mergeCell ref="A65:F65"/>
    <mergeCell ref="A66:F66"/>
    <mergeCell ref="A67:F67"/>
    <mergeCell ref="A68:F68"/>
    <mergeCell ref="A59:F59"/>
    <mergeCell ref="A60:F60"/>
    <mergeCell ref="A61:F61"/>
    <mergeCell ref="A62:F62"/>
    <mergeCell ref="A63:F63"/>
    <mergeCell ref="A54:F54"/>
    <mergeCell ref="A55:F55"/>
    <mergeCell ref="A56:F56"/>
    <mergeCell ref="A57:R57"/>
    <mergeCell ref="A58:F58"/>
    <mergeCell ref="A49:F49"/>
    <mergeCell ref="A50:F50"/>
    <mergeCell ref="A51:F51"/>
    <mergeCell ref="A52:F52"/>
    <mergeCell ref="A53:F53"/>
    <mergeCell ref="A44:F44"/>
    <mergeCell ref="A45:F45"/>
    <mergeCell ref="A46:F46"/>
    <mergeCell ref="A47:F47"/>
    <mergeCell ref="A48:F48"/>
    <mergeCell ref="A39:F39"/>
    <mergeCell ref="A40:F40"/>
    <mergeCell ref="A41:F41"/>
    <mergeCell ref="A42:F42"/>
    <mergeCell ref="A43:R43"/>
    <mergeCell ref="A34:F34"/>
    <mergeCell ref="A35:F35"/>
    <mergeCell ref="A36:F36"/>
    <mergeCell ref="A37:F37"/>
    <mergeCell ref="A38:F38"/>
    <mergeCell ref="A29:R29"/>
    <mergeCell ref="A30:F30"/>
    <mergeCell ref="A31:F31"/>
    <mergeCell ref="A32:F32"/>
    <mergeCell ref="A33:F33"/>
    <mergeCell ref="A24:F24"/>
    <mergeCell ref="A25:F25"/>
    <mergeCell ref="A26:F26"/>
    <mergeCell ref="A27:F27"/>
    <mergeCell ref="A28:F28"/>
    <mergeCell ref="A19:F19"/>
    <mergeCell ref="A20:F20"/>
    <mergeCell ref="A21:F21"/>
    <mergeCell ref="A22:F22"/>
    <mergeCell ref="A23:F23"/>
    <mergeCell ref="A1:R1"/>
    <mergeCell ref="A15:R15"/>
    <mergeCell ref="A16:F16"/>
    <mergeCell ref="A17:F17"/>
    <mergeCell ref="A18:F18"/>
  </mergeCells>
  <phoneticPr fontId="14" type="noConversion"/>
  <pageMargins left="0.7" right="0.7" top="0.75" bottom="0.75" header="0.3" footer="0.3"/>
  <pageSetup paperSize="9" orientation="portrait"/>
  <ignoredErrors>
    <ignoredError sqref="M5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B021-C472-43BB-923A-11C5D3F7BB2E}">
  <dimension ref="A1:P112"/>
  <sheetViews>
    <sheetView tabSelected="1" zoomScaleNormal="100" workbookViewId="0">
      <selection activeCell="O117" sqref="O117"/>
    </sheetView>
  </sheetViews>
  <sheetFormatPr defaultRowHeight="14"/>
  <cols>
    <col min="1" max="1" width="5.25" bestFit="1" customWidth="1"/>
    <col min="2" max="2" width="15.4140625" bestFit="1" customWidth="1"/>
    <col min="3" max="3" width="10" bestFit="1" customWidth="1"/>
    <col min="4" max="4" width="15.4140625" bestFit="1" customWidth="1"/>
    <col min="5" max="5" width="10" bestFit="1" customWidth="1"/>
    <col min="6" max="7" width="13.58203125" bestFit="1" customWidth="1"/>
    <col min="8" max="8" width="17.25" bestFit="1" customWidth="1"/>
    <col min="9" max="9" width="22.58203125" bestFit="1" customWidth="1"/>
    <col min="10" max="10" width="17.25" bestFit="1" customWidth="1"/>
    <col min="11" max="12" width="11.83203125" bestFit="1" customWidth="1"/>
    <col min="13" max="13" width="13.58203125" bestFit="1" customWidth="1"/>
    <col min="14" max="14" width="11.83203125" bestFit="1" customWidth="1"/>
    <col min="15" max="15" width="13.58203125" bestFit="1" customWidth="1"/>
    <col min="16" max="16" width="11.83203125" bestFit="1" customWidth="1"/>
  </cols>
  <sheetData>
    <row r="1" spans="1:16" s="26" customFormat="1">
      <c r="A1" s="51" t="s">
        <v>121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>
      <c r="A2" s="7" t="s">
        <v>149</v>
      </c>
      <c r="B2" s="14" t="s">
        <v>97</v>
      </c>
      <c r="C2" s="14" t="s">
        <v>98</v>
      </c>
      <c r="D2" s="14" t="s">
        <v>109</v>
      </c>
      <c r="E2" s="14" t="s">
        <v>110</v>
      </c>
      <c r="F2" s="14" t="s">
        <v>122</v>
      </c>
      <c r="G2" s="14" t="s">
        <v>111</v>
      </c>
      <c r="H2" s="14" t="s">
        <v>112</v>
      </c>
      <c r="I2" s="14" t="s">
        <v>113</v>
      </c>
      <c r="J2" s="14" t="s">
        <v>114</v>
      </c>
      <c r="K2" s="14" t="s">
        <v>115</v>
      </c>
      <c r="L2" s="14" t="s">
        <v>116</v>
      </c>
      <c r="M2" s="14" t="s">
        <v>117</v>
      </c>
      <c r="N2" s="14" t="s">
        <v>118</v>
      </c>
      <c r="O2" s="14" t="s">
        <v>119</v>
      </c>
      <c r="P2" s="14" t="s">
        <v>120</v>
      </c>
    </row>
    <row r="3" spans="1:16">
      <c r="A3" s="9" t="s">
        <v>19</v>
      </c>
      <c r="B3" s="15">
        <v>4369377</v>
      </c>
      <c r="C3" s="15">
        <v>998225</v>
      </c>
      <c r="D3" s="27">
        <v>4170618</v>
      </c>
      <c r="E3" s="27">
        <v>1254627</v>
      </c>
      <c r="F3" s="27">
        <f>E3-C3</f>
        <v>256402</v>
      </c>
      <c r="G3" s="15">
        <v>13822</v>
      </c>
      <c r="H3" s="15">
        <v>1240805</v>
      </c>
      <c r="I3" s="22">
        <f>G3+H3/8</f>
        <v>168922.625</v>
      </c>
      <c r="J3" s="22">
        <f>I3-'2024年'!K87</f>
        <v>31931.25</v>
      </c>
      <c r="K3" s="17">
        <f t="shared" ref="K3:K14" si="0">E3/D3</f>
        <v>0.30082520144496572</v>
      </c>
      <c r="L3" s="15">
        <v>2491562</v>
      </c>
      <c r="M3" s="15">
        <v>729074</v>
      </c>
      <c r="N3" s="17">
        <f>M3/L3</f>
        <v>0.29261724171423387</v>
      </c>
      <c r="O3" s="15">
        <v>221381</v>
      </c>
      <c r="P3" s="17">
        <f>O3/B3</f>
        <v>5.0666490897901463E-2</v>
      </c>
    </row>
    <row r="4" spans="1:16">
      <c r="A4" s="9" t="s">
        <v>20</v>
      </c>
      <c r="B4" s="15">
        <v>33882675</v>
      </c>
      <c r="C4" s="15">
        <v>11563661</v>
      </c>
      <c r="D4" s="27">
        <v>33950995</v>
      </c>
      <c r="E4" s="27">
        <v>12125083</v>
      </c>
      <c r="F4" s="27">
        <f t="shared" ref="F4:F14" si="1">E4-C4</f>
        <v>561422</v>
      </c>
      <c r="G4" s="15">
        <v>824940</v>
      </c>
      <c r="H4" s="15">
        <v>11300143</v>
      </c>
      <c r="I4" s="22">
        <f t="shared" ref="I4:I14" si="2">G4+H4/8</f>
        <v>2237457.875</v>
      </c>
      <c r="J4" s="22">
        <f>I4-'2024年'!K88</f>
        <v>-47239.375</v>
      </c>
      <c r="K4" s="17">
        <f t="shared" si="0"/>
        <v>0.35713483507626215</v>
      </c>
      <c r="L4" s="15">
        <v>13420022</v>
      </c>
      <c r="M4" s="15">
        <v>7802279</v>
      </c>
      <c r="N4" s="17">
        <f t="shared" ref="N4:N14" si="3">M4/L4</f>
        <v>0.5813909246944603</v>
      </c>
      <c r="O4" s="15">
        <v>236005</v>
      </c>
      <c r="P4" s="17">
        <f>O4/B4</f>
        <v>6.9653591400324795E-3</v>
      </c>
    </row>
    <row r="5" spans="1:16">
      <c r="A5" s="9" t="s">
        <v>21</v>
      </c>
      <c r="B5" s="15">
        <v>7463675</v>
      </c>
      <c r="C5" s="15">
        <v>3523545</v>
      </c>
      <c r="D5" s="27">
        <v>7390030</v>
      </c>
      <c r="E5" s="27">
        <v>3899953</v>
      </c>
      <c r="F5" s="27">
        <f t="shared" si="1"/>
        <v>376408</v>
      </c>
      <c r="G5" s="15">
        <v>29008</v>
      </c>
      <c r="H5" s="15">
        <v>3870945</v>
      </c>
      <c r="I5" s="22">
        <f t="shared" si="2"/>
        <v>512876.125</v>
      </c>
      <c r="J5" s="22">
        <f>I5-'2024年'!K89</f>
        <v>47238.25</v>
      </c>
      <c r="K5" s="17">
        <f t="shared" si="0"/>
        <v>0.52773168715147301</v>
      </c>
      <c r="L5" s="15">
        <v>5077051</v>
      </c>
      <c r="M5" s="15">
        <v>2461129</v>
      </c>
      <c r="N5" s="17">
        <f t="shared" si="3"/>
        <v>0.48475561896069197</v>
      </c>
      <c r="O5" s="15">
        <v>150134</v>
      </c>
      <c r="P5" s="17">
        <f t="shared" ref="P5:P13" si="4">O5/B5</f>
        <v>2.0115291729610414E-2</v>
      </c>
    </row>
    <row r="6" spans="1:16">
      <c r="A6" s="9" t="s">
        <v>22</v>
      </c>
      <c r="B6" s="15">
        <v>9262105</v>
      </c>
      <c r="C6" s="15">
        <v>2902443</v>
      </c>
      <c r="D6" s="27">
        <v>9312584</v>
      </c>
      <c r="E6" s="27">
        <v>2958999</v>
      </c>
      <c r="F6" s="27">
        <f t="shared" si="1"/>
        <v>56556</v>
      </c>
      <c r="G6" s="15">
        <v>40094</v>
      </c>
      <c r="H6" s="15">
        <v>2918905</v>
      </c>
      <c r="I6" s="22">
        <f t="shared" si="2"/>
        <v>404957.125</v>
      </c>
      <c r="J6" s="22">
        <f>I6-'2024年'!K90</f>
        <v>8249</v>
      </c>
      <c r="K6" s="17">
        <f t="shared" si="0"/>
        <v>0.31774199298497602</v>
      </c>
      <c r="L6" s="15">
        <v>6468628</v>
      </c>
      <c r="M6" s="15">
        <v>1446089</v>
      </c>
      <c r="N6" s="17">
        <f t="shared" si="3"/>
        <v>0.22355420654890032</v>
      </c>
      <c r="O6" s="15">
        <v>26866</v>
      </c>
      <c r="P6" s="17">
        <f t="shared" si="4"/>
        <v>2.9006365183724433E-3</v>
      </c>
    </row>
    <row r="7" spans="1:16">
      <c r="A7" s="9" t="s">
        <v>23</v>
      </c>
      <c r="B7" s="15">
        <v>20022474</v>
      </c>
      <c r="C7" s="15">
        <v>6530408</v>
      </c>
      <c r="D7" s="27">
        <v>20051454</v>
      </c>
      <c r="E7" s="27">
        <v>6799240</v>
      </c>
      <c r="F7" s="27">
        <f t="shared" si="1"/>
        <v>268832</v>
      </c>
      <c r="G7" s="15">
        <v>104957</v>
      </c>
      <c r="H7" s="15">
        <v>6694283</v>
      </c>
      <c r="I7" s="22">
        <f t="shared" si="2"/>
        <v>941742.375</v>
      </c>
      <c r="J7" s="22">
        <f>I7-'2024年'!K91</f>
        <v>32884.75</v>
      </c>
      <c r="K7" s="17">
        <f t="shared" si="0"/>
        <v>0.33908962412401616</v>
      </c>
      <c r="L7" s="15">
        <v>13692995</v>
      </c>
      <c r="M7" s="15">
        <v>4591653</v>
      </c>
      <c r="N7" s="17">
        <f t="shared" si="3"/>
        <v>0.33532861145425086</v>
      </c>
      <c r="O7" s="15">
        <v>54992</v>
      </c>
      <c r="P7" s="17">
        <f t="shared" si="4"/>
        <v>2.7465137425075441E-3</v>
      </c>
    </row>
    <row r="8" spans="1:16">
      <c r="A8" s="9" t="s">
        <v>24</v>
      </c>
      <c r="B8" s="15">
        <v>9703575</v>
      </c>
      <c r="C8" s="15">
        <v>1114643</v>
      </c>
      <c r="D8" s="27">
        <v>9656196</v>
      </c>
      <c r="E8" s="27">
        <v>1259226</v>
      </c>
      <c r="F8" s="27">
        <f t="shared" si="1"/>
        <v>144583</v>
      </c>
      <c r="G8" s="15">
        <v>38919</v>
      </c>
      <c r="H8" s="15">
        <v>1220307</v>
      </c>
      <c r="I8" s="22">
        <f t="shared" si="2"/>
        <v>191457.375</v>
      </c>
      <c r="J8" s="22">
        <f>I8-'2024年'!K92</f>
        <v>18575.125</v>
      </c>
      <c r="K8" s="17">
        <f t="shared" si="0"/>
        <v>0.13040601081419639</v>
      </c>
      <c r="L8" s="15">
        <v>4489138</v>
      </c>
      <c r="M8" s="15">
        <v>476561</v>
      </c>
      <c r="N8" s="17">
        <f t="shared" si="3"/>
        <v>0.10615868792627894</v>
      </c>
      <c r="O8" s="15">
        <v>52373</v>
      </c>
      <c r="P8" s="17">
        <f t="shared" si="4"/>
        <v>5.3972891434342501E-3</v>
      </c>
    </row>
    <row r="9" spans="1:16">
      <c r="A9" s="9" t="s">
        <v>25</v>
      </c>
      <c r="B9" s="15">
        <v>14058978</v>
      </c>
      <c r="C9" s="15">
        <v>3183026</v>
      </c>
      <c r="D9" s="27">
        <v>13909224</v>
      </c>
      <c r="E9" s="27">
        <v>3350731</v>
      </c>
      <c r="F9" s="27">
        <f t="shared" si="1"/>
        <v>167705</v>
      </c>
      <c r="G9" s="15">
        <v>44708</v>
      </c>
      <c r="H9" s="15">
        <v>3306023</v>
      </c>
      <c r="I9" s="22">
        <f t="shared" si="2"/>
        <v>457960.875</v>
      </c>
      <c r="J9" s="22">
        <f>I9-'2024年'!K93</f>
        <v>20075</v>
      </c>
      <c r="K9" s="17">
        <f t="shared" si="0"/>
        <v>0.24089992367654731</v>
      </c>
      <c r="L9" s="15">
        <v>7737013</v>
      </c>
      <c r="M9" s="15">
        <v>2061207</v>
      </c>
      <c r="N9" s="17">
        <f t="shared" si="3"/>
        <v>0.26640862565437073</v>
      </c>
      <c r="O9" s="15">
        <v>335783</v>
      </c>
      <c r="P9" s="17">
        <f t="shared" si="4"/>
        <v>2.3883884020588126E-2</v>
      </c>
    </row>
    <row r="10" spans="1:16">
      <c r="A10" s="9" t="s">
        <v>26</v>
      </c>
      <c r="B10" s="15">
        <v>25818295</v>
      </c>
      <c r="C10" s="15">
        <v>10012594</v>
      </c>
      <c r="D10" s="27">
        <v>25656949</v>
      </c>
      <c r="E10" s="27">
        <v>10049257</v>
      </c>
      <c r="F10" s="27">
        <f t="shared" si="1"/>
        <v>36663</v>
      </c>
      <c r="G10" s="15">
        <v>74967</v>
      </c>
      <c r="H10" s="15">
        <v>9974290</v>
      </c>
      <c r="I10" s="22">
        <f t="shared" si="2"/>
        <v>1321753.25</v>
      </c>
      <c r="J10" s="22">
        <f>I10-'2024年'!K94</f>
        <v>6521.875</v>
      </c>
      <c r="K10" s="17">
        <f t="shared" si="0"/>
        <v>0.39167778678595028</v>
      </c>
      <c r="L10" s="15">
        <v>15545490</v>
      </c>
      <c r="M10" s="15">
        <v>7018407</v>
      </c>
      <c r="N10" s="17">
        <f t="shared" si="3"/>
        <v>0.45147544400337331</v>
      </c>
      <c r="O10" s="15">
        <v>185505</v>
      </c>
      <c r="P10" s="17">
        <f t="shared" si="4"/>
        <v>7.1850213191847097E-3</v>
      </c>
    </row>
    <row r="11" spans="1:16">
      <c r="A11" s="9" t="s">
        <v>27</v>
      </c>
      <c r="B11" s="15">
        <v>4044113</v>
      </c>
      <c r="C11" s="15">
        <v>1145147</v>
      </c>
      <c r="D11" s="27">
        <v>3936475</v>
      </c>
      <c r="E11" s="27">
        <v>1152533</v>
      </c>
      <c r="F11" s="27">
        <f t="shared" si="1"/>
        <v>7386</v>
      </c>
      <c r="G11" s="15">
        <v>21314</v>
      </c>
      <c r="H11" s="15">
        <v>1131219</v>
      </c>
      <c r="I11" s="22">
        <f t="shared" si="2"/>
        <v>162716.375</v>
      </c>
      <c r="J11" s="22">
        <f>I11-'2024年'!K95</f>
        <v>898.75</v>
      </c>
      <c r="K11" s="17">
        <f t="shared" si="0"/>
        <v>0.29278301018042791</v>
      </c>
      <c r="L11" s="15">
        <v>1842940</v>
      </c>
      <c r="M11" s="15">
        <v>670986</v>
      </c>
      <c r="N11" s="17">
        <f t="shared" si="3"/>
        <v>0.36408456053913857</v>
      </c>
      <c r="O11" s="15">
        <v>109404</v>
      </c>
      <c r="P11" s="17">
        <f t="shared" si="4"/>
        <v>2.7052656540507151E-2</v>
      </c>
    </row>
    <row r="12" spans="1:16">
      <c r="A12" s="9" t="s">
        <v>28</v>
      </c>
      <c r="B12" s="15">
        <v>15748418</v>
      </c>
      <c r="C12" s="15">
        <v>7871164</v>
      </c>
      <c r="D12" s="27">
        <v>15880080</v>
      </c>
      <c r="E12" s="27">
        <v>8276821</v>
      </c>
      <c r="F12" s="27">
        <f t="shared" si="1"/>
        <v>405657</v>
      </c>
      <c r="G12" s="15">
        <v>102086</v>
      </c>
      <c r="H12" s="15">
        <v>8174735</v>
      </c>
      <c r="I12" s="22">
        <f t="shared" si="2"/>
        <v>1123927.875</v>
      </c>
      <c r="J12" s="22">
        <f>I12-'2024年'!K96</f>
        <v>86324</v>
      </c>
      <c r="K12" s="17">
        <f t="shared" si="0"/>
        <v>0.52120776469639951</v>
      </c>
      <c r="L12" s="15">
        <v>11593154</v>
      </c>
      <c r="M12" s="15">
        <v>3921002</v>
      </c>
      <c r="N12" s="17">
        <f t="shared" si="3"/>
        <v>0.33821702014827026</v>
      </c>
      <c r="O12" s="15">
        <v>294701</v>
      </c>
      <c r="P12" s="17">
        <f t="shared" si="4"/>
        <v>1.8713054225510142E-2</v>
      </c>
    </row>
    <row r="13" spans="1:16">
      <c r="A13" s="9" t="s">
        <v>29</v>
      </c>
      <c r="B13" s="15">
        <v>2970142</v>
      </c>
      <c r="C13" s="15">
        <v>324109</v>
      </c>
      <c r="D13" s="27">
        <v>2967715</v>
      </c>
      <c r="E13" s="27">
        <v>311005</v>
      </c>
      <c r="F13" s="27">
        <f t="shared" si="1"/>
        <v>-13104</v>
      </c>
      <c r="G13" s="15">
        <v>6982</v>
      </c>
      <c r="H13" s="15">
        <v>304023</v>
      </c>
      <c r="I13" s="22">
        <f t="shared" si="2"/>
        <v>44984.875</v>
      </c>
      <c r="J13" s="22">
        <f>I13-'2024年'!K97</f>
        <v>-1308.125</v>
      </c>
      <c r="K13" s="17">
        <f t="shared" si="0"/>
        <v>0.10479611418212328</v>
      </c>
      <c r="L13" s="15">
        <v>1712570</v>
      </c>
      <c r="M13" s="15">
        <v>110900</v>
      </c>
      <c r="N13" s="17">
        <f t="shared" si="3"/>
        <v>6.4756477107505095E-2</v>
      </c>
      <c r="O13" s="15">
        <v>2782</v>
      </c>
      <c r="P13" s="17">
        <f t="shared" si="4"/>
        <v>9.366555538422069E-4</v>
      </c>
    </row>
    <row r="14" spans="1:16" s="29" customFormat="1">
      <c r="A14" s="12" t="s">
        <v>30</v>
      </c>
      <c r="B14" s="12">
        <f>SUM(B3:B13)</f>
        <v>147343827</v>
      </c>
      <c r="C14" s="24">
        <f>SUM(C3:C13)</f>
        <v>49168965</v>
      </c>
      <c r="D14" s="12">
        <f>SUM(D3:D13)</f>
        <v>146882320</v>
      </c>
      <c r="E14" s="24">
        <f>SUM(E3:E13)</f>
        <v>51437475</v>
      </c>
      <c r="F14" s="28">
        <f t="shared" si="1"/>
        <v>2268510</v>
      </c>
      <c r="G14" s="24">
        <f>SUM(G3:G13)</f>
        <v>1301797</v>
      </c>
      <c r="H14" s="24">
        <f>E14-G14</f>
        <v>50135678</v>
      </c>
      <c r="I14" s="25">
        <f t="shared" si="2"/>
        <v>7568756.75</v>
      </c>
      <c r="J14" s="25">
        <f>I14-'2024年'!K98</f>
        <v>204150.5</v>
      </c>
      <c r="K14" s="18">
        <f t="shared" si="0"/>
        <v>0.35019514261484974</v>
      </c>
      <c r="L14" s="13">
        <f>SUM(L3:L13)</f>
        <v>84070563</v>
      </c>
      <c r="M14" s="21">
        <f>SUM(M3:M13)</f>
        <v>31289287</v>
      </c>
      <c r="N14" s="18">
        <f t="shared" si="3"/>
        <v>0.37217886836323433</v>
      </c>
      <c r="O14" s="21">
        <f>SUM(O3:O13)</f>
        <v>1669926</v>
      </c>
      <c r="P14" s="18">
        <f>O14/B14</f>
        <v>1.1333532147227314E-2</v>
      </c>
    </row>
    <row r="15" spans="1:16">
      <c r="A15" s="51" t="s">
        <v>123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</row>
    <row r="16" spans="1:16">
      <c r="A16" s="42" t="s">
        <v>149</v>
      </c>
      <c r="B16" s="43"/>
      <c r="C16" s="44"/>
      <c r="D16" s="14" t="s">
        <v>124</v>
      </c>
      <c r="E16" s="14" t="s">
        <v>125</v>
      </c>
      <c r="F16" s="14" t="s">
        <v>126</v>
      </c>
      <c r="G16" s="14" t="s">
        <v>134</v>
      </c>
      <c r="H16" s="14" t="s">
        <v>133</v>
      </c>
      <c r="I16" s="14" t="s">
        <v>135</v>
      </c>
      <c r="J16" s="65" t="s">
        <v>127</v>
      </c>
      <c r="K16" s="66"/>
      <c r="L16" s="14" t="s">
        <v>128</v>
      </c>
      <c r="M16" s="14" t="s">
        <v>129</v>
      </c>
      <c r="N16" s="14" t="s">
        <v>130</v>
      </c>
      <c r="O16" s="14" t="s">
        <v>131</v>
      </c>
      <c r="P16" s="14" t="s">
        <v>132</v>
      </c>
    </row>
    <row r="17" spans="1:16">
      <c r="A17" s="45" t="s">
        <v>19</v>
      </c>
      <c r="B17" s="46"/>
      <c r="C17" s="47"/>
      <c r="D17" s="27">
        <v>4158757</v>
      </c>
      <c r="E17" s="27">
        <v>1292420</v>
      </c>
      <c r="F17" s="27">
        <f>E17-C3</f>
        <v>294195</v>
      </c>
      <c r="G17" s="27">
        <v>1099787</v>
      </c>
      <c r="H17" s="15">
        <f>E17-G17</f>
        <v>192633</v>
      </c>
      <c r="I17" s="17">
        <f>H17/G17</f>
        <v>0.17515482543437957</v>
      </c>
      <c r="J17" s="62">
        <f>E17/D17</f>
        <v>0.31077074231555246</v>
      </c>
      <c r="K17" s="63"/>
      <c r="L17" s="27">
        <v>2540591</v>
      </c>
      <c r="M17" s="27">
        <v>742597</v>
      </c>
      <c r="N17" s="17">
        <f>M17/L17</f>
        <v>0.29229301371216382</v>
      </c>
      <c r="O17" s="27">
        <v>16045</v>
      </c>
      <c r="P17" s="17">
        <f>O17/D3</f>
        <v>3.8471516691291315E-3</v>
      </c>
    </row>
    <row r="18" spans="1:16">
      <c r="A18" s="45" t="s">
        <v>20</v>
      </c>
      <c r="B18" s="46"/>
      <c r="C18" s="47"/>
      <c r="D18" s="27">
        <v>34097120</v>
      </c>
      <c r="E18" s="27">
        <v>12122663</v>
      </c>
      <c r="F18" s="27">
        <f t="shared" ref="F18:F28" si="5">E18-C4</f>
        <v>559002</v>
      </c>
      <c r="G18" s="27">
        <v>10332891</v>
      </c>
      <c r="H18" s="15">
        <f t="shared" ref="H18:H27" si="6">E18-G18</f>
        <v>1789772</v>
      </c>
      <c r="I18" s="17">
        <f t="shared" ref="I18:I28" si="7">H18/G18</f>
        <v>0.173211156490473</v>
      </c>
      <c r="J18" s="62">
        <f>E18/D18</f>
        <v>0.35553334123233871</v>
      </c>
      <c r="K18" s="63"/>
      <c r="L18" s="27">
        <v>13813800</v>
      </c>
      <c r="M18" s="27">
        <v>7813429</v>
      </c>
      <c r="N18" s="17">
        <f t="shared" ref="N18:N28" si="8">M18/L18</f>
        <v>0.56562488236401276</v>
      </c>
      <c r="O18" s="27">
        <v>95548</v>
      </c>
      <c r="P18" s="17">
        <f t="shared" ref="P18:P28" si="9">O18/D4</f>
        <v>2.8142915988176487E-3</v>
      </c>
    </row>
    <row r="19" spans="1:16">
      <c r="A19" s="45" t="s">
        <v>21</v>
      </c>
      <c r="B19" s="46"/>
      <c r="C19" s="47"/>
      <c r="D19" s="27">
        <v>7308885</v>
      </c>
      <c r="E19" s="27">
        <v>3990460</v>
      </c>
      <c r="F19" s="27">
        <f t="shared" si="5"/>
        <v>466915</v>
      </c>
      <c r="G19" s="27">
        <v>2630253</v>
      </c>
      <c r="H19" s="15">
        <f t="shared" si="6"/>
        <v>1360207</v>
      </c>
      <c r="I19" s="17">
        <f t="shared" si="7"/>
        <v>0.51713922577029658</v>
      </c>
      <c r="J19" s="62">
        <f>E19/D19</f>
        <v>0.5459738386908537</v>
      </c>
      <c r="K19" s="63"/>
      <c r="L19" s="27">
        <v>5255145</v>
      </c>
      <c r="M19" s="27">
        <v>2421091</v>
      </c>
      <c r="N19" s="17">
        <f t="shared" si="8"/>
        <v>0.46070869595415542</v>
      </c>
      <c r="O19" s="27">
        <v>144839</v>
      </c>
      <c r="P19" s="17">
        <f t="shared" si="9"/>
        <v>1.9599243846100761E-2</v>
      </c>
    </row>
    <row r="20" spans="1:16">
      <c r="A20" s="45" t="s">
        <v>22</v>
      </c>
      <c r="B20" s="46"/>
      <c r="C20" s="47"/>
      <c r="D20" s="27">
        <v>9365958</v>
      </c>
      <c r="E20" s="27">
        <v>3227355</v>
      </c>
      <c r="F20" s="27">
        <f t="shared" si="5"/>
        <v>324912</v>
      </c>
      <c r="G20" s="27">
        <v>1968327</v>
      </c>
      <c r="H20" s="15">
        <f t="shared" si="6"/>
        <v>1259028</v>
      </c>
      <c r="I20" s="17">
        <f t="shared" si="7"/>
        <v>0.63964371773592499</v>
      </c>
      <c r="J20" s="62">
        <f>E20/D20</f>
        <v>0.34458354393645585</v>
      </c>
      <c r="K20" s="63"/>
      <c r="L20" s="27">
        <v>6673640</v>
      </c>
      <c r="M20" s="27">
        <v>1484252</v>
      </c>
      <c r="N20" s="17">
        <f t="shared" si="8"/>
        <v>0.22240516419824863</v>
      </c>
      <c r="O20" s="27">
        <v>249470</v>
      </c>
      <c r="P20" s="17">
        <f t="shared" si="9"/>
        <v>2.6788483196500564E-2</v>
      </c>
    </row>
    <row r="21" spans="1:16">
      <c r="A21" s="45" t="s">
        <v>23</v>
      </c>
      <c r="B21" s="46"/>
      <c r="C21" s="47"/>
      <c r="D21" s="27">
        <v>20262655</v>
      </c>
      <c r="E21" s="27">
        <v>7125387</v>
      </c>
      <c r="F21" s="27">
        <f t="shared" si="5"/>
        <v>594979</v>
      </c>
      <c r="G21" s="27">
        <v>5982644</v>
      </c>
      <c r="H21" s="15">
        <f t="shared" si="6"/>
        <v>1142743</v>
      </c>
      <c r="I21" s="17">
        <f t="shared" si="7"/>
        <v>0.1910096940416311</v>
      </c>
      <c r="J21" s="62">
        <f t="shared" ref="J21:J28" si="10">E21/D21</f>
        <v>0.35165120266815975</v>
      </c>
      <c r="K21" s="63"/>
      <c r="L21" s="27">
        <v>13638869</v>
      </c>
      <c r="M21" s="27">
        <v>4607207</v>
      </c>
      <c r="N21" s="17">
        <f t="shared" si="8"/>
        <v>0.33779978383838133</v>
      </c>
      <c r="O21" s="27">
        <v>64812</v>
      </c>
      <c r="P21" s="17">
        <f t="shared" si="9"/>
        <v>3.2322843021757924E-3</v>
      </c>
    </row>
    <row r="22" spans="1:16">
      <c r="A22" s="45" t="s">
        <v>24</v>
      </c>
      <c r="B22" s="46"/>
      <c r="C22" s="47"/>
      <c r="D22" s="27">
        <v>9355243</v>
      </c>
      <c r="E22" s="27">
        <v>1549610</v>
      </c>
      <c r="F22" s="27">
        <f t="shared" si="5"/>
        <v>434967</v>
      </c>
      <c r="G22" s="27">
        <v>1297429</v>
      </c>
      <c r="H22" s="15">
        <f t="shared" si="6"/>
        <v>252181</v>
      </c>
      <c r="I22" s="17">
        <f t="shared" si="7"/>
        <v>0.19436978825045531</v>
      </c>
      <c r="J22" s="62">
        <f t="shared" si="10"/>
        <v>0.16564080697850392</v>
      </c>
      <c r="K22" s="63"/>
      <c r="L22" s="27">
        <v>4252008</v>
      </c>
      <c r="M22" s="27">
        <v>467918</v>
      </c>
      <c r="N22" s="17">
        <f t="shared" si="8"/>
        <v>0.11004635927307757</v>
      </c>
      <c r="O22" s="27">
        <v>654069</v>
      </c>
      <c r="P22" s="17">
        <f t="shared" si="9"/>
        <v>6.7735679764578102E-2</v>
      </c>
    </row>
    <row r="23" spans="1:16">
      <c r="A23" s="45" t="s">
        <v>25</v>
      </c>
      <c r="B23" s="46"/>
      <c r="C23" s="47"/>
      <c r="D23" s="27">
        <v>14139837</v>
      </c>
      <c r="E23" s="27">
        <v>3286553</v>
      </c>
      <c r="F23" s="27">
        <f t="shared" si="5"/>
        <v>103527</v>
      </c>
      <c r="G23" s="27">
        <v>3917259</v>
      </c>
      <c r="H23" s="15">
        <f t="shared" si="6"/>
        <v>-630706</v>
      </c>
      <c r="I23" s="17">
        <f t="shared" si="7"/>
        <v>-0.16100696941407244</v>
      </c>
      <c r="J23" s="62">
        <f t="shared" si="10"/>
        <v>0.23243217018696891</v>
      </c>
      <c r="K23" s="63"/>
      <c r="L23" s="27">
        <v>7951843</v>
      </c>
      <c r="M23" s="27">
        <v>2002203</v>
      </c>
      <c r="N23" s="17">
        <f t="shared" si="8"/>
        <v>0.25179106277626456</v>
      </c>
      <c r="O23" s="27">
        <v>10879</v>
      </c>
      <c r="P23" s="17">
        <f t="shared" si="9"/>
        <v>7.8214284276390976E-4</v>
      </c>
    </row>
    <row r="24" spans="1:16">
      <c r="A24" s="45" t="s">
        <v>26</v>
      </c>
      <c r="B24" s="46"/>
      <c r="C24" s="47"/>
      <c r="D24" s="27">
        <v>25460057</v>
      </c>
      <c r="E24" s="27">
        <v>11128654</v>
      </c>
      <c r="F24" s="27">
        <f t="shared" si="5"/>
        <v>1116060</v>
      </c>
      <c r="G24" s="27">
        <v>10336033</v>
      </c>
      <c r="H24" s="15">
        <f t="shared" si="6"/>
        <v>792621</v>
      </c>
      <c r="I24" s="17">
        <f t="shared" si="7"/>
        <v>7.6685223431465444E-2</v>
      </c>
      <c r="J24" s="62">
        <f t="shared" si="10"/>
        <v>0.43710247781456263</v>
      </c>
      <c r="K24" s="63"/>
      <c r="L24" s="27">
        <v>16271013</v>
      </c>
      <c r="M24" s="27">
        <v>6979954</v>
      </c>
      <c r="N24" s="17">
        <f t="shared" si="8"/>
        <v>0.42898091225174484</v>
      </c>
      <c r="O24" s="27">
        <v>225748</v>
      </c>
      <c r="P24" s="17">
        <f t="shared" si="9"/>
        <v>8.7987079056048318E-3</v>
      </c>
    </row>
    <row r="25" spans="1:16">
      <c r="A25" s="45" t="s">
        <v>27</v>
      </c>
      <c r="B25" s="46"/>
      <c r="C25" s="47"/>
      <c r="D25" s="27">
        <v>3914645</v>
      </c>
      <c r="E25" s="27">
        <v>1139904</v>
      </c>
      <c r="F25" s="27">
        <f t="shared" si="5"/>
        <v>-5243</v>
      </c>
      <c r="G25" s="27">
        <v>948130</v>
      </c>
      <c r="H25" s="15">
        <f t="shared" si="6"/>
        <v>191774</v>
      </c>
      <c r="I25" s="17">
        <f t="shared" si="7"/>
        <v>0.20226551211331778</v>
      </c>
      <c r="J25" s="62">
        <f t="shared" si="10"/>
        <v>0.29118962255836739</v>
      </c>
      <c r="K25" s="63"/>
      <c r="L25" s="27">
        <v>1747739</v>
      </c>
      <c r="M25" s="27">
        <v>655891</v>
      </c>
      <c r="N25" s="17">
        <f t="shared" si="8"/>
        <v>0.37527971853920983</v>
      </c>
      <c r="O25" s="27">
        <v>24301</v>
      </c>
      <c r="P25" s="17">
        <f t="shared" si="9"/>
        <v>6.1732895547412341E-3</v>
      </c>
    </row>
    <row r="26" spans="1:16">
      <c r="A26" s="45" t="s">
        <v>28</v>
      </c>
      <c r="B26" s="46"/>
      <c r="C26" s="47"/>
      <c r="D26" s="27">
        <v>16023317</v>
      </c>
      <c r="E26" s="27">
        <v>8402178</v>
      </c>
      <c r="F26" s="27">
        <f t="shared" si="5"/>
        <v>531014</v>
      </c>
      <c r="G26" s="27">
        <v>5807125</v>
      </c>
      <c r="H26" s="15">
        <f t="shared" si="6"/>
        <v>2595053</v>
      </c>
      <c r="I26" s="17">
        <f t="shared" si="7"/>
        <v>0.44687396947715091</v>
      </c>
      <c r="J26" s="62">
        <f t="shared" si="10"/>
        <v>0.52437195120086555</v>
      </c>
      <c r="K26" s="63"/>
      <c r="L26" s="27">
        <v>11829136</v>
      </c>
      <c r="M26" s="27">
        <v>3711076</v>
      </c>
      <c r="N26" s="17">
        <f t="shared" si="8"/>
        <v>0.31372333533066149</v>
      </c>
      <c r="O26" s="27">
        <v>255778</v>
      </c>
      <c r="P26" s="17">
        <f t="shared" si="9"/>
        <v>1.6106845809341012E-2</v>
      </c>
    </row>
    <row r="27" spans="1:16">
      <c r="A27" s="45" t="s">
        <v>29</v>
      </c>
      <c r="B27" s="46"/>
      <c r="C27" s="47"/>
      <c r="D27" s="27">
        <v>2967160</v>
      </c>
      <c r="E27" s="27">
        <v>267797</v>
      </c>
      <c r="F27" s="27">
        <f t="shared" si="5"/>
        <v>-56312</v>
      </c>
      <c r="G27" s="27">
        <v>331647</v>
      </c>
      <c r="H27" s="15">
        <f t="shared" si="6"/>
        <v>-63850</v>
      </c>
      <c r="I27" s="17">
        <f t="shared" si="7"/>
        <v>-0.19252397880879368</v>
      </c>
      <c r="J27" s="62">
        <f t="shared" si="10"/>
        <v>9.0253643214386822E-2</v>
      </c>
      <c r="K27" s="63"/>
      <c r="L27" s="27">
        <v>1669971</v>
      </c>
      <c r="M27" s="27">
        <v>108115</v>
      </c>
      <c r="N27" s="17">
        <f t="shared" si="8"/>
        <v>6.4740645196832758E-2</v>
      </c>
      <c r="O27" s="27">
        <v>1782</v>
      </c>
      <c r="P27" s="17">
        <f t="shared" si="9"/>
        <v>6.0046197158419867E-4</v>
      </c>
    </row>
    <row r="28" spans="1:16" s="29" customFormat="1">
      <c r="A28" s="48" t="s">
        <v>30</v>
      </c>
      <c r="B28" s="49"/>
      <c r="C28" s="50"/>
      <c r="D28" s="28">
        <f>SUM(D17:D27)</f>
        <v>147053634</v>
      </c>
      <c r="E28" s="28">
        <f>SUM(E17:E27)</f>
        <v>53532981</v>
      </c>
      <c r="F28" s="28">
        <f t="shared" si="5"/>
        <v>4364016</v>
      </c>
      <c r="G28" s="24">
        <f>SUM(G17:G27)</f>
        <v>44651525</v>
      </c>
      <c r="H28" s="15">
        <f>E28-G28</f>
        <v>8881456</v>
      </c>
      <c r="I28" s="17">
        <f t="shared" si="7"/>
        <v>0.19890599481204729</v>
      </c>
      <c r="J28" s="67">
        <f t="shared" si="10"/>
        <v>0.36403711723302262</v>
      </c>
      <c r="K28" s="68"/>
      <c r="L28" s="13">
        <f>SUM(L17:L27)</f>
        <v>85643755</v>
      </c>
      <c r="M28" s="21">
        <f>SUM(M17:M27)</f>
        <v>30993733</v>
      </c>
      <c r="N28" s="18">
        <f t="shared" si="8"/>
        <v>0.36189133696905279</v>
      </c>
      <c r="O28" s="28">
        <f>SUM(O17:O27)</f>
        <v>1743271</v>
      </c>
      <c r="P28" s="18">
        <f t="shared" si="9"/>
        <v>1.1868487643713689E-2</v>
      </c>
    </row>
    <row r="29" spans="1:16">
      <c r="A29" s="51" t="s">
        <v>136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</row>
    <row r="30" spans="1:16">
      <c r="A30" s="52" t="s">
        <v>149</v>
      </c>
      <c r="B30" s="52"/>
      <c r="C30" s="52"/>
      <c r="D30" s="14" t="s">
        <v>137</v>
      </c>
      <c r="E30" s="14" t="s">
        <v>138</v>
      </c>
      <c r="F30" s="14" t="s">
        <v>139</v>
      </c>
      <c r="G30" s="14" t="s">
        <v>140</v>
      </c>
      <c r="H30" s="14" t="s">
        <v>141</v>
      </c>
      <c r="I30" s="14" t="s">
        <v>142</v>
      </c>
      <c r="J30" s="69" t="s">
        <v>143</v>
      </c>
      <c r="K30" s="69"/>
      <c r="L30" s="14" t="s">
        <v>144</v>
      </c>
      <c r="M30" s="14" t="s">
        <v>145</v>
      </c>
      <c r="N30" s="14" t="s">
        <v>146</v>
      </c>
      <c r="O30" s="14" t="s">
        <v>147</v>
      </c>
      <c r="P30" s="14" t="s">
        <v>148</v>
      </c>
    </row>
    <row r="31" spans="1:16">
      <c r="A31" s="53" t="s">
        <v>19</v>
      </c>
      <c r="B31" s="53"/>
      <c r="C31" s="53"/>
      <c r="D31" s="27">
        <v>3937738</v>
      </c>
      <c r="E31" s="27">
        <v>1561164</v>
      </c>
      <c r="F31" s="27">
        <f>E31-C3</f>
        <v>562939</v>
      </c>
      <c r="G31" s="27">
        <v>1109908</v>
      </c>
      <c r="H31" s="27">
        <f>E31-G31</f>
        <v>451256</v>
      </c>
      <c r="I31" s="17">
        <f>H31/G31</f>
        <v>0.40657063468323501</v>
      </c>
      <c r="J31" s="62">
        <f>E31/D31</f>
        <v>0.39646213130482527</v>
      </c>
      <c r="K31" s="63"/>
      <c r="L31" s="27">
        <v>2788325</v>
      </c>
      <c r="M31" s="27">
        <v>775505</v>
      </c>
      <c r="N31" s="17">
        <f>M31/L31</f>
        <v>0.27812575650255977</v>
      </c>
      <c r="O31" s="27">
        <v>263705</v>
      </c>
      <c r="P31" s="17">
        <f>O31/D17</f>
        <v>6.3409571658069944E-2</v>
      </c>
    </row>
    <row r="32" spans="1:16">
      <c r="A32" s="53" t="s">
        <v>20</v>
      </c>
      <c r="B32" s="53"/>
      <c r="C32" s="53"/>
      <c r="D32" s="27">
        <v>33957175</v>
      </c>
      <c r="E32" s="27">
        <v>12557595</v>
      </c>
      <c r="F32" s="27">
        <f t="shared" ref="F32:F41" si="11">E32-C4</f>
        <v>993934</v>
      </c>
      <c r="G32" s="27">
        <v>11102682</v>
      </c>
      <c r="H32" s="27">
        <f t="shared" ref="H32:H42" si="12">E32-G32</f>
        <v>1454913</v>
      </c>
      <c r="I32" s="17">
        <f t="shared" ref="I32:I42" si="13">H32/G32</f>
        <v>0.13104158076399919</v>
      </c>
      <c r="J32" s="62">
        <f t="shared" ref="J32:J42" si="14">E32/D32</f>
        <v>0.36980682285849753</v>
      </c>
      <c r="K32" s="63"/>
      <c r="L32" s="27">
        <v>14181176</v>
      </c>
      <c r="M32" s="27">
        <v>8202555</v>
      </c>
      <c r="N32" s="17">
        <f t="shared" ref="N32:N42" si="15">M32/L32</f>
        <v>0.57841148011984334</v>
      </c>
      <c r="O32" s="27">
        <v>778671</v>
      </c>
      <c r="P32" s="17">
        <f t="shared" ref="P32:P42" si="16">O32/D18</f>
        <v>2.2836855429432163E-2</v>
      </c>
    </row>
    <row r="33" spans="1:16">
      <c r="A33" s="53" t="s">
        <v>21</v>
      </c>
      <c r="B33" s="53"/>
      <c r="C33" s="53"/>
      <c r="D33" s="27">
        <v>7559664</v>
      </c>
      <c r="E33" s="27">
        <v>4128771</v>
      </c>
      <c r="F33" s="27">
        <f t="shared" si="11"/>
        <v>605226</v>
      </c>
      <c r="G33" s="27">
        <v>2992818</v>
      </c>
      <c r="H33" s="27">
        <f t="shared" si="12"/>
        <v>1135953</v>
      </c>
      <c r="I33" s="17">
        <f t="shared" si="13"/>
        <v>0.37955966584002099</v>
      </c>
      <c r="J33" s="62">
        <f t="shared" si="14"/>
        <v>0.54615800384779001</v>
      </c>
      <c r="K33" s="63"/>
      <c r="L33" s="27">
        <v>5492972</v>
      </c>
      <c r="M33" s="27">
        <v>2522706</v>
      </c>
      <c r="N33" s="17">
        <f t="shared" si="15"/>
        <v>0.45926066981590297</v>
      </c>
      <c r="O33" s="27">
        <v>31381</v>
      </c>
      <c r="P33" s="17">
        <f t="shared" si="16"/>
        <v>4.2935413541189934E-3</v>
      </c>
    </row>
    <row r="34" spans="1:16">
      <c r="A34" s="53" t="s">
        <v>22</v>
      </c>
      <c r="B34" s="53"/>
      <c r="C34" s="53"/>
      <c r="D34" s="27">
        <v>8829778</v>
      </c>
      <c r="E34" s="27">
        <v>3537074</v>
      </c>
      <c r="F34" s="27">
        <f t="shared" si="11"/>
        <v>634631</v>
      </c>
      <c r="G34" s="27">
        <v>2189796</v>
      </c>
      <c r="H34" s="27">
        <f t="shared" si="12"/>
        <v>1347278</v>
      </c>
      <c r="I34" s="17">
        <f t="shared" si="13"/>
        <v>0.61525274500455751</v>
      </c>
      <c r="J34" s="62">
        <f t="shared" si="14"/>
        <v>0.40058470326207524</v>
      </c>
      <c r="K34" s="63"/>
      <c r="L34" s="27">
        <v>6651168</v>
      </c>
      <c r="M34" s="27">
        <v>1667515</v>
      </c>
      <c r="N34" s="17">
        <f t="shared" si="15"/>
        <v>0.2507101008424385</v>
      </c>
      <c r="O34" s="27">
        <v>600403</v>
      </c>
      <c r="P34" s="17">
        <f t="shared" si="16"/>
        <v>6.4104814478134542E-2</v>
      </c>
    </row>
    <row r="35" spans="1:16">
      <c r="A35" s="53" t="s">
        <v>23</v>
      </c>
      <c r="B35" s="53"/>
      <c r="C35" s="53"/>
      <c r="D35" s="27">
        <v>20142549</v>
      </c>
      <c r="E35" s="27">
        <v>7197762</v>
      </c>
      <c r="F35" s="27">
        <f t="shared" si="11"/>
        <v>667354</v>
      </c>
      <c r="G35" s="27">
        <v>6522289</v>
      </c>
      <c r="H35" s="27">
        <f t="shared" si="12"/>
        <v>675473</v>
      </c>
      <c r="I35" s="17">
        <f t="shared" si="13"/>
        <v>0.10356379485790955</v>
      </c>
      <c r="J35" s="62">
        <f t="shared" si="14"/>
        <v>0.35734116868724014</v>
      </c>
      <c r="K35" s="63"/>
      <c r="L35" s="27">
        <v>13287349</v>
      </c>
      <c r="M35" s="27">
        <v>4785577</v>
      </c>
      <c r="N35" s="17">
        <f>M35/L35</f>
        <v>0.36016040520949666</v>
      </c>
      <c r="O35" s="27">
        <v>231556</v>
      </c>
      <c r="P35" s="17">
        <f t="shared" si="16"/>
        <v>1.1427722576335628E-2</v>
      </c>
    </row>
    <row r="36" spans="1:16">
      <c r="A36" s="53" t="s">
        <v>24</v>
      </c>
      <c r="B36" s="53"/>
      <c r="C36" s="53"/>
      <c r="D36" s="27">
        <v>9236602</v>
      </c>
      <c r="E36" s="27">
        <v>1491668</v>
      </c>
      <c r="F36" s="27">
        <f t="shared" si="11"/>
        <v>377025</v>
      </c>
      <c r="G36" s="27">
        <v>1363925</v>
      </c>
      <c r="H36" s="27">
        <f t="shared" si="12"/>
        <v>127743</v>
      </c>
      <c r="I36" s="17">
        <f t="shared" si="13"/>
        <v>9.3658375643822053E-2</v>
      </c>
      <c r="J36" s="62">
        <f t="shared" si="14"/>
        <v>0.16149532046525333</v>
      </c>
      <c r="K36" s="63"/>
      <c r="L36" s="27">
        <v>4230585</v>
      </c>
      <c r="M36" s="27">
        <v>476177</v>
      </c>
      <c r="N36" s="17">
        <f t="shared" si="15"/>
        <v>0.11255582856744398</v>
      </c>
      <c r="O36" s="27">
        <v>171768</v>
      </c>
      <c r="P36" s="17">
        <f t="shared" si="16"/>
        <v>1.8360613401490481E-2</v>
      </c>
    </row>
    <row r="37" spans="1:16">
      <c r="A37" s="53" t="s">
        <v>25</v>
      </c>
      <c r="B37" s="53"/>
      <c r="C37" s="53"/>
      <c r="D37" s="27">
        <v>14160910</v>
      </c>
      <c r="E37" s="27">
        <v>3137927</v>
      </c>
      <c r="F37" s="27">
        <f t="shared" si="11"/>
        <v>-45099</v>
      </c>
      <c r="G37" s="27">
        <v>3788872</v>
      </c>
      <c r="H37" s="27">
        <f t="shared" si="12"/>
        <v>-650945</v>
      </c>
      <c r="I37" s="17">
        <f t="shared" si="13"/>
        <v>-0.17180443150362429</v>
      </c>
      <c r="J37" s="62">
        <f t="shared" si="14"/>
        <v>0.22159077347430356</v>
      </c>
      <c r="K37" s="63"/>
      <c r="L37" s="27">
        <v>8113508</v>
      </c>
      <c r="M37" s="27">
        <v>2080867</v>
      </c>
      <c r="N37" s="17">
        <f t="shared" si="15"/>
        <v>0.25646945809383559</v>
      </c>
      <c r="O37" s="27">
        <v>331522</v>
      </c>
      <c r="P37" s="17">
        <f t="shared" si="16"/>
        <v>2.3445956272338923E-2</v>
      </c>
    </row>
    <row r="38" spans="1:16">
      <c r="A38" s="53" t="s">
        <v>26</v>
      </c>
      <c r="B38" s="53"/>
      <c r="C38" s="53"/>
      <c r="D38" s="27">
        <v>25105581</v>
      </c>
      <c r="E38" s="27">
        <v>11083469</v>
      </c>
      <c r="F38" s="27">
        <f t="shared" si="11"/>
        <v>1070875</v>
      </c>
      <c r="G38" s="27">
        <v>10740766</v>
      </c>
      <c r="H38" s="27">
        <f t="shared" si="12"/>
        <v>342703</v>
      </c>
      <c r="I38" s="17">
        <f t="shared" si="13"/>
        <v>3.1906755998594515E-2</v>
      </c>
      <c r="J38" s="62">
        <f t="shared" si="14"/>
        <v>0.44147430804329924</v>
      </c>
      <c r="K38" s="63"/>
      <c r="L38" s="27">
        <v>16330761</v>
      </c>
      <c r="M38" s="27">
        <v>7185923</v>
      </c>
      <c r="N38" s="17">
        <f t="shared" si="15"/>
        <v>0.44002376864127762</v>
      </c>
      <c r="O38" s="27">
        <v>608238</v>
      </c>
      <c r="P38" s="17">
        <f t="shared" si="16"/>
        <v>2.3889891526951413E-2</v>
      </c>
    </row>
    <row r="39" spans="1:16">
      <c r="A39" s="53" t="s">
        <v>27</v>
      </c>
      <c r="B39" s="53"/>
      <c r="C39" s="53"/>
      <c r="D39" s="27">
        <v>3895070</v>
      </c>
      <c r="E39" s="27">
        <v>1141694</v>
      </c>
      <c r="F39" s="27">
        <f t="shared" si="11"/>
        <v>-3453</v>
      </c>
      <c r="G39" s="27">
        <v>998785</v>
      </c>
      <c r="H39" s="27">
        <f t="shared" si="12"/>
        <v>142909</v>
      </c>
      <c r="I39" s="17">
        <f t="shared" si="13"/>
        <v>0.14308284565747384</v>
      </c>
      <c r="J39" s="62">
        <f t="shared" si="14"/>
        <v>0.29311257564048915</v>
      </c>
      <c r="K39" s="63"/>
      <c r="L39" s="27">
        <v>1745069</v>
      </c>
      <c r="M39" s="27">
        <v>656032</v>
      </c>
      <c r="N39" s="17">
        <f t="shared" si="15"/>
        <v>0.37593470516065552</v>
      </c>
      <c r="O39" s="27">
        <v>22655</v>
      </c>
      <c r="P39" s="17">
        <f t="shared" si="16"/>
        <v>5.7872425213525112E-3</v>
      </c>
    </row>
    <row r="40" spans="1:16">
      <c r="A40" s="53" t="s">
        <v>28</v>
      </c>
      <c r="B40" s="53"/>
      <c r="C40" s="53"/>
      <c r="D40" s="27">
        <v>16279144</v>
      </c>
      <c r="E40" s="27">
        <v>8643196</v>
      </c>
      <c r="F40" s="27">
        <f t="shared" si="11"/>
        <v>772032</v>
      </c>
      <c r="G40" s="27">
        <v>6362853</v>
      </c>
      <c r="H40" s="27">
        <f t="shared" si="12"/>
        <v>2280343</v>
      </c>
      <c r="I40" s="17">
        <f t="shared" si="13"/>
        <v>0.35838373132304013</v>
      </c>
      <c r="J40" s="62">
        <f t="shared" si="14"/>
        <v>0.53093676178550908</v>
      </c>
      <c r="K40" s="63"/>
      <c r="L40" s="27">
        <v>12120551</v>
      </c>
      <c r="M40" s="27">
        <v>3929887</v>
      </c>
      <c r="N40" s="17">
        <f t="shared" si="15"/>
        <v>0.32423336199814679</v>
      </c>
      <c r="O40" s="27">
        <v>234123</v>
      </c>
      <c r="P40" s="17">
        <f t="shared" si="16"/>
        <v>1.4611394132688008E-2</v>
      </c>
    </row>
    <row r="41" spans="1:16">
      <c r="A41" s="53" t="s">
        <v>29</v>
      </c>
      <c r="B41" s="53"/>
      <c r="C41" s="53"/>
      <c r="D41" s="27">
        <v>2966048</v>
      </c>
      <c r="E41" s="27">
        <v>267573</v>
      </c>
      <c r="F41" s="27">
        <f t="shared" si="11"/>
        <v>-56536</v>
      </c>
      <c r="G41" s="27">
        <v>335125</v>
      </c>
      <c r="H41" s="27">
        <f t="shared" si="12"/>
        <v>-67552</v>
      </c>
      <c r="I41" s="17">
        <f t="shared" si="13"/>
        <v>-0.20157254755688175</v>
      </c>
      <c r="J41" s="62">
        <f t="shared" si="14"/>
        <v>9.0211958808488604E-2</v>
      </c>
      <c r="K41" s="63"/>
      <c r="L41" s="27">
        <v>1859210</v>
      </c>
      <c r="M41" s="27">
        <v>107730</v>
      </c>
      <c r="N41" s="17">
        <f t="shared" si="15"/>
        <v>5.7943965447690149E-2</v>
      </c>
      <c r="O41" s="27">
        <v>1454</v>
      </c>
      <c r="P41" s="17">
        <f t="shared" si="16"/>
        <v>4.9003087127084488E-4</v>
      </c>
    </row>
    <row r="42" spans="1:16">
      <c r="A42" s="54" t="s">
        <v>30</v>
      </c>
      <c r="B42" s="54"/>
      <c r="C42" s="54"/>
      <c r="D42" s="28">
        <f>SUM(D31:D41)</f>
        <v>146070259</v>
      </c>
      <c r="E42" s="28">
        <f>SUM(E31:E41)</f>
        <v>54747893</v>
      </c>
      <c r="F42" s="28">
        <f>E42-C14</f>
        <v>5578928</v>
      </c>
      <c r="G42" s="24">
        <f>SUM(G31:G41)</f>
        <v>47507819</v>
      </c>
      <c r="H42" s="24">
        <f t="shared" si="12"/>
        <v>7240074</v>
      </c>
      <c r="I42" s="18">
        <f t="shared" si="13"/>
        <v>0.15239752428963324</v>
      </c>
      <c r="J42" s="64">
        <f t="shared" si="14"/>
        <v>0.37480520247451604</v>
      </c>
      <c r="K42" s="64"/>
      <c r="L42" s="13">
        <f>SUM(L31:L41)</f>
        <v>86800674</v>
      </c>
      <c r="M42" s="21">
        <f>SUM(M31:M41)</f>
        <v>32390474</v>
      </c>
      <c r="N42" s="18">
        <f t="shared" si="15"/>
        <v>0.37315924528420136</v>
      </c>
      <c r="O42" s="28">
        <f>SUM(O31:O41)</f>
        <v>3275476</v>
      </c>
      <c r="P42" s="18">
        <f t="shared" si="16"/>
        <v>2.2274022823536615E-2</v>
      </c>
    </row>
    <row r="43" spans="1:16">
      <c r="A43" s="51" t="s">
        <v>150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</row>
    <row r="44" spans="1:16">
      <c r="A44" s="52" t="s">
        <v>149</v>
      </c>
      <c r="B44" s="52"/>
      <c r="C44" s="52"/>
      <c r="D44" s="14" t="s">
        <v>151</v>
      </c>
      <c r="E44" s="14" t="s">
        <v>152</v>
      </c>
      <c r="F44" s="14" t="s">
        <v>153</v>
      </c>
      <c r="G44" s="14" t="s">
        <v>154</v>
      </c>
      <c r="H44" s="14" t="s">
        <v>155</v>
      </c>
      <c r="I44" s="14" t="s">
        <v>156</v>
      </c>
      <c r="J44" s="69" t="s">
        <v>157</v>
      </c>
      <c r="K44" s="69"/>
      <c r="L44" s="14" t="s">
        <v>158</v>
      </c>
      <c r="M44" s="14" t="s">
        <v>159</v>
      </c>
      <c r="N44" s="14" t="s">
        <v>162</v>
      </c>
      <c r="O44" s="14" t="s">
        <v>160</v>
      </c>
      <c r="P44" s="14" t="s">
        <v>161</v>
      </c>
    </row>
    <row r="45" spans="1:16">
      <c r="A45" s="53" t="s">
        <v>19</v>
      </c>
      <c r="B45" s="53"/>
      <c r="C45" s="45"/>
      <c r="D45" s="32">
        <v>3808421</v>
      </c>
      <c r="E45" s="32">
        <v>1571275</v>
      </c>
      <c r="F45" s="32">
        <f>E45-C3</f>
        <v>573050</v>
      </c>
      <c r="G45" s="32">
        <v>694323</v>
      </c>
      <c r="H45" s="32">
        <f>E45-G45</f>
        <v>876952</v>
      </c>
      <c r="I45" s="17">
        <f>H45/G45</f>
        <v>1.2630317589940128</v>
      </c>
      <c r="J45" s="62">
        <f>E45/D45</f>
        <v>0.41257912399915869</v>
      </c>
      <c r="K45" s="63"/>
      <c r="L45" s="32">
        <v>2766268</v>
      </c>
      <c r="M45" s="32">
        <v>809500</v>
      </c>
      <c r="N45" s="17">
        <f>M45/L45</f>
        <v>0.29263252873546597</v>
      </c>
      <c r="O45" s="32">
        <v>135377</v>
      </c>
      <c r="P45" s="17">
        <f>O45/D31</f>
        <v>3.4379382274798372E-2</v>
      </c>
    </row>
    <row r="46" spans="1:16">
      <c r="A46" s="53" t="s">
        <v>20</v>
      </c>
      <c r="B46" s="53"/>
      <c r="C46" s="45"/>
      <c r="D46" s="32">
        <v>30746304</v>
      </c>
      <c r="E46" s="32">
        <v>12902913</v>
      </c>
      <c r="F46" s="32">
        <f t="shared" ref="F46:F55" si="17">E46-C4</f>
        <v>1339252</v>
      </c>
      <c r="G46" s="32">
        <v>10357420</v>
      </c>
      <c r="H46" s="32">
        <f t="shared" ref="H46:H56" si="18">E46-G46</f>
        <v>2545493</v>
      </c>
      <c r="I46" s="17">
        <f t="shared" ref="I46:I55" si="19">H46/G46</f>
        <v>0.24576516159429665</v>
      </c>
      <c r="J46" s="62">
        <f t="shared" ref="J46:J56" si="20">E46/D46</f>
        <v>0.41965736759774441</v>
      </c>
      <c r="K46" s="63"/>
      <c r="L46" s="32">
        <v>13968131</v>
      </c>
      <c r="M46" s="32">
        <v>8516515</v>
      </c>
      <c r="N46" s="17">
        <f t="shared" ref="N46:N56" si="21">M46/L46</f>
        <v>0.60971041866660614</v>
      </c>
      <c r="O46" s="32">
        <v>3620695</v>
      </c>
      <c r="P46" s="17">
        <f t="shared" ref="P46:P55" si="22">O46/D32</f>
        <v>0.10662533028733986</v>
      </c>
    </row>
    <row r="47" spans="1:16">
      <c r="A47" s="53" t="s">
        <v>21</v>
      </c>
      <c r="B47" s="53"/>
      <c r="C47" s="45"/>
      <c r="D47" s="32">
        <v>6802367</v>
      </c>
      <c r="E47" s="32">
        <v>4188954</v>
      </c>
      <c r="F47" s="32">
        <f t="shared" si="17"/>
        <v>665409</v>
      </c>
      <c r="G47" s="32">
        <v>3025808</v>
      </c>
      <c r="H47" s="32">
        <f t="shared" si="18"/>
        <v>1163146</v>
      </c>
      <c r="I47" s="17">
        <f t="shared" si="19"/>
        <v>0.38440839603834742</v>
      </c>
      <c r="J47" s="62">
        <f t="shared" si="20"/>
        <v>0.61580829143737759</v>
      </c>
      <c r="K47" s="63"/>
      <c r="L47" s="32">
        <v>5073651</v>
      </c>
      <c r="M47" s="32">
        <v>2621418</v>
      </c>
      <c r="N47" s="17">
        <f t="shared" si="21"/>
        <v>0.51667290477803851</v>
      </c>
      <c r="O47" s="32">
        <v>826480</v>
      </c>
      <c r="P47" s="17">
        <f t="shared" si="22"/>
        <v>0.10932761032765477</v>
      </c>
    </row>
    <row r="48" spans="1:16">
      <c r="A48" s="53" t="s">
        <v>22</v>
      </c>
      <c r="B48" s="53"/>
      <c r="C48" s="45"/>
      <c r="D48" s="32">
        <v>8808791</v>
      </c>
      <c r="E48" s="32">
        <v>3634919</v>
      </c>
      <c r="F48" s="32">
        <f t="shared" si="17"/>
        <v>732476</v>
      </c>
      <c r="G48" s="32">
        <v>2024688</v>
      </c>
      <c r="H48" s="32">
        <f t="shared" si="18"/>
        <v>1610231</v>
      </c>
      <c r="I48" s="17">
        <f t="shared" si="19"/>
        <v>0.79529833732407162</v>
      </c>
      <c r="J48" s="62">
        <f t="shared" si="20"/>
        <v>0.41264675254526983</v>
      </c>
      <c r="K48" s="63"/>
      <c r="L48" s="32">
        <v>6489659</v>
      </c>
      <c r="M48" s="32">
        <v>1837690</v>
      </c>
      <c r="N48" s="17">
        <f t="shared" si="21"/>
        <v>0.2831720434001232</v>
      </c>
      <c r="O48" s="32">
        <v>530380</v>
      </c>
      <c r="P48" s="17">
        <f t="shared" si="22"/>
        <v>6.0067195347380198E-2</v>
      </c>
    </row>
    <row r="49" spans="1:16">
      <c r="A49" s="53" t="s">
        <v>23</v>
      </c>
      <c r="B49" s="53"/>
      <c r="C49" s="45"/>
      <c r="D49" s="32">
        <v>18922319</v>
      </c>
      <c r="E49" s="32">
        <v>7633260</v>
      </c>
      <c r="F49" s="32">
        <f t="shared" si="17"/>
        <v>1102852</v>
      </c>
      <c r="G49" s="32">
        <v>6352870</v>
      </c>
      <c r="H49" s="32">
        <f t="shared" si="18"/>
        <v>1280390</v>
      </c>
      <c r="I49" s="17">
        <f t="shared" si="19"/>
        <v>0.20154512842227215</v>
      </c>
      <c r="J49" s="62">
        <f t="shared" si="20"/>
        <v>0.40339981584709572</v>
      </c>
      <c r="K49" s="63"/>
      <c r="L49" s="32">
        <v>12027944</v>
      </c>
      <c r="M49" s="32">
        <v>4924694</v>
      </c>
      <c r="N49" s="17">
        <f t="shared" si="21"/>
        <v>0.40943772268976308</v>
      </c>
      <c r="O49" s="32">
        <v>1355690</v>
      </c>
      <c r="P49" s="17">
        <f t="shared" si="22"/>
        <v>6.7304788485310379E-2</v>
      </c>
    </row>
    <row r="50" spans="1:16">
      <c r="A50" s="53" t="s">
        <v>24</v>
      </c>
      <c r="B50" s="53"/>
      <c r="C50" s="45"/>
      <c r="D50" s="32">
        <v>8390854</v>
      </c>
      <c r="E50" s="32">
        <v>1293408</v>
      </c>
      <c r="F50" s="32">
        <f t="shared" si="17"/>
        <v>178765</v>
      </c>
      <c r="G50" s="32">
        <v>1215533</v>
      </c>
      <c r="H50" s="32">
        <f t="shared" si="18"/>
        <v>77875</v>
      </c>
      <c r="I50" s="17">
        <f t="shared" si="19"/>
        <v>6.4066545293299318E-2</v>
      </c>
      <c r="J50" s="62">
        <f t="shared" si="20"/>
        <v>0.15414497737655786</v>
      </c>
      <c r="K50" s="63"/>
      <c r="L50" s="32">
        <v>3730140</v>
      </c>
      <c r="M50" s="32">
        <v>474755</v>
      </c>
      <c r="N50" s="17">
        <f t="shared" si="21"/>
        <v>0.12727538376575678</v>
      </c>
      <c r="O50" s="32">
        <v>918465</v>
      </c>
      <c r="P50" s="17">
        <f t="shared" si="22"/>
        <v>9.9437542074455515E-2</v>
      </c>
    </row>
    <row r="51" spans="1:16">
      <c r="A51" s="53" t="s">
        <v>25</v>
      </c>
      <c r="B51" s="53"/>
      <c r="C51" s="45"/>
      <c r="D51" s="32">
        <v>12964200</v>
      </c>
      <c r="E51" s="32">
        <v>3053163</v>
      </c>
      <c r="F51" s="32">
        <f t="shared" si="17"/>
        <v>-129863</v>
      </c>
      <c r="G51" s="32">
        <v>3507921</v>
      </c>
      <c r="H51" s="32">
        <f t="shared" si="18"/>
        <v>-454758</v>
      </c>
      <c r="I51" s="17">
        <f t="shared" si="19"/>
        <v>-0.12963746903080201</v>
      </c>
      <c r="J51" s="62">
        <f t="shared" si="20"/>
        <v>0.23550724302309436</v>
      </c>
      <c r="K51" s="63"/>
      <c r="L51" s="32">
        <v>7823386</v>
      </c>
      <c r="M51" s="32">
        <v>2109907</v>
      </c>
      <c r="N51" s="17">
        <f t="shared" si="21"/>
        <v>0.26969230458525245</v>
      </c>
      <c r="O51" s="32">
        <v>1321731</v>
      </c>
      <c r="P51" s="17">
        <f t="shared" si="22"/>
        <v>9.3336586419940526E-2</v>
      </c>
    </row>
    <row r="52" spans="1:16">
      <c r="A52" s="53" t="s">
        <v>26</v>
      </c>
      <c r="B52" s="53"/>
      <c r="C52" s="45"/>
      <c r="D52" s="32">
        <v>22179725</v>
      </c>
      <c r="E52" s="32">
        <v>11009806</v>
      </c>
      <c r="F52" s="32">
        <f t="shared" si="17"/>
        <v>997212</v>
      </c>
      <c r="G52" s="32">
        <v>10717427</v>
      </c>
      <c r="H52" s="32">
        <f t="shared" si="18"/>
        <v>292379</v>
      </c>
      <c r="I52" s="17">
        <f t="shared" si="19"/>
        <v>2.7280708326728048E-2</v>
      </c>
      <c r="J52" s="62">
        <f t="shared" si="20"/>
        <v>0.4963905548874028</v>
      </c>
      <c r="K52" s="63"/>
      <c r="L52" s="32">
        <v>14889752</v>
      </c>
      <c r="M52" s="32">
        <v>7261810</v>
      </c>
      <c r="N52" s="17">
        <f t="shared" si="21"/>
        <v>0.48770523511741498</v>
      </c>
      <c r="O52" s="32">
        <v>3118955</v>
      </c>
      <c r="P52" s="17">
        <f t="shared" si="22"/>
        <v>0.12423353197840752</v>
      </c>
    </row>
    <row r="53" spans="1:16">
      <c r="A53" s="53" t="s">
        <v>27</v>
      </c>
      <c r="B53" s="53"/>
      <c r="C53" s="45"/>
      <c r="D53" s="32">
        <v>3408425</v>
      </c>
      <c r="E53" s="32">
        <v>1185494</v>
      </c>
      <c r="F53" s="32">
        <f t="shared" si="17"/>
        <v>40347</v>
      </c>
      <c r="G53" s="32">
        <v>1042046</v>
      </c>
      <c r="H53" s="32">
        <f t="shared" si="18"/>
        <v>143448</v>
      </c>
      <c r="I53" s="17">
        <f t="shared" si="19"/>
        <v>0.13765994975269805</v>
      </c>
      <c r="J53" s="62">
        <f t="shared" si="20"/>
        <v>0.34781284610927332</v>
      </c>
      <c r="K53" s="63"/>
      <c r="L53" s="32">
        <v>1781935</v>
      </c>
      <c r="M53" s="32">
        <v>635777</v>
      </c>
      <c r="N53" s="17">
        <f t="shared" si="21"/>
        <v>0.35679023084455941</v>
      </c>
      <c r="O53" s="32">
        <v>489312</v>
      </c>
      <c r="P53" s="17">
        <f t="shared" si="22"/>
        <v>0.12562341626723011</v>
      </c>
    </row>
    <row r="54" spans="1:16">
      <c r="A54" s="53" t="s">
        <v>28</v>
      </c>
      <c r="B54" s="53"/>
      <c r="C54" s="45"/>
      <c r="D54" s="32">
        <v>15796660</v>
      </c>
      <c r="E54" s="32">
        <v>8625042</v>
      </c>
      <c r="F54" s="32">
        <f t="shared" si="17"/>
        <v>753878</v>
      </c>
      <c r="G54" s="32">
        <v>6440945</v>
      </c>
      <c r="H54" s="32">
        <f t="shared" si="18"/>
        <v>2184097</v>
      </c>
      <c r="I54" s="17">
        <f t="shared" si="19"/>
        <v>0.33909573828064049</v>
      </c>
      <c r="J54" s="62">
        <f t="shared" si="20"/>
        <v>0.54600415530878044</v>
      </c>
      <c r="K54" s="63"/>
      <c r="L54" s="32">
        <v>12198791</v>
      </c>
      <c r="M54" s="32">
        <v>3839276</v>
      </c>
      <c r="N54" s="17">
        <f t="shared" si="21"/>
        <v>0.3147259429233602</v>
      </c>
      <c r="O54" s="32">
        <v>771265</v>
      </c>
      <c r="P54" s="17">
        <f t="shared" si="22"/>
        <v>4.7377491101497721E-2</v>
      </c>
    </row>
    <row r="55" spans="1:16">
      <c r="A55" s="53" t="s">
        <v>29</v>
      </c>
      <c r="B55" s="53"/>
      <c r="C55" s="45"/>
      <c r="D55" s="32">
        <v>2780114</v>
      </c>
      <c r="E55" s="32">
        <v>263549</v>
      </c>
      <c r="F55" s="32">
        <f t="shared" si="17"/>
        <v>-60560</v>
      </c>
      <c r="G55" s="32">
        <v>329697</v>
      </c>
      <c r="H55" s="32">
        <f t="shared" si="18"/>
        <v>-66148</v>
      </c>
      <c r="I55" s="17">
        <f t="shared" si="19"/>
        <v>-0.20063270214772957</v>
      </c>
      <c r="J55" s="62">
        <f t="shared" si="20"/>
        <v>9.4797911164793955E-2</v>
      </c>
      <c r="K55" s="63"/>
      <c r="L55" s="32">
        <v>1532632</v>
      </c>
      <c r="M55" s="32">
        <v>106008</v>
      </c>
      <c r="N55" s="17">
        <f t="shared" si="21"/>
        <v>6.9167288690305306E-2</v>
      </c>
      <c r="O55" s="32">
        <v>186956</v>
      </c>
      <c r="P55" s="17">
        <f t="shared" si="22"/>
        <v>6.3032021059672663E-2</v>
      </c>
    </row>
    <row r="56" spans="1:16">
      <c r="A56" s="54" t="s">
        <v>30</v>
      </c>
      <c r="B56" s="54"/>
      <c r="C56" s="54"/>
      <c r="D56" s="30">
        <f>SUM(D45:D55)</f>
        <v>134608180</v>
      </c>
      <c r="E56" s="30">
        <f>SUM(E45:E55)</f>
        <v>55361783</v>
      </c>
      <c r="F56" s="30">
        <f>SUM(F45:F55)</f>
        <v>6192818</v>
      </c>
      <c r="G56" s="31">
        <f>SUM(G45:G55)</f>
        <v>45708678</v>
      </c>
      <c r="H56" s="31">
        <f t="shared" si="18"/>
        <v>9653105</v>
      </c>
      <c r="I56" s="18">
        <f>H56/G56</f>
        <v>0.21118757799120771</v>
      </c>
      <c r="J56" s="64">
        <f t="shared" si="20"/>
        <v>0.41128097118614931</v>
      </c>
      <c r="K56" s="64"/>
      <c r="L56" s="13">
        <f>SUM(L45:L55)</f>
        <v>82282289</v>
      </c>
      <c r="M56" s="21">
        <f>SUM(M45:M55)</f>
        <v>33137350</v>
      </c>
      <c r="N56" s="18">
        <f t="shared" si="21"/>
        <v>0.40272761493059583</v>
      </c>
      <c r="O56" s="28">
        <f>SUM(O45:O55)</f>
        <v>13275306</v>
      </c>
      <c r="P56" s="18">
        <f>O56/D42</f>
        <v>9.088301815087492E-2</v>
      </c>
    </row>
    <row r="57" spans="1:16">
      <c r="A57" s="59" t="s">
        <v>163</v>
      </c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</row>
    <row r="58" spans="1:16">
      <c r="A58" s="60" t="s">
        <v>149</v>
      </c>
      <c r="B58" s="60"/>
      <c r="C58" s="60"/>
      <c r="D58" s="33" t="s">
        <v>164</v>
      </c>
      <c r="E58" s="33" t="s">
        <v>165</v>
      </c>
      <c r="F58" s="33" t="s">
        <v>166</v>
      </c>
      <c r="G58" s="33" t="s">
        <v>167</v>
      </c>
      <c r="H58" s="33" t="s">
        <v>168</v>
      </c>
      <c r="I58" s="33" t="s">
        <v>169</v>
      </c>
      <c r="J58" s="61" t="s">
        <v>170</v>
      </c>
      <c r="K58" s="61"/>
      <c r="L58" s="33" t="s">
        <v>171</v>
      </c>
      <c r="M58" s="33" t="s">
        <v>172</v>
      </c>
      <c r="N58" s="33" t="s">
        <v>173</v>
      </c>
      <c r="O58" s="33" t="s">
        <v>174</v>
      </c>
      <c r="P58" s="33" t="s">
        <v>175</v>
      </c>
    </row>
    <row r="59" spans="1:16">
      <c r="A59" s="55" t="s">
        <v>19</v>
      </c>
      <c r="B59" s="55"/>
      <c r="C59" s="55"/>
      <c r="D59" s="32">
        <v>3626654</v>
      </c>
      <c r="E59" s="32">
        <v>1616433</v>
      </c>
      <c r="F59" s="32">
        <f>E59-C3</f>
        <v>618208</v>
      </c>
      <c r="G59" s="32">
        <v>732787</v>
      </c>
      <c r="H59" s="32">
        <f>E59-G59</f>
        <v>883646</v>
      </c>
      <c r="I59" s="34">
        <f>H59/G59</f>
        <v>1.2058701914744667</v>
      </c>
      <c r="J59" s="56">
        <f>E59/D59</f>
        <v>0.44570918538134602</v>
      </c>
      <c r="K59" s="56"/>
      <c r="L59" s="32">
        <v>2830881</v>
      </c>
      <c r="M59" s="32">
        <v>884240</v>
      </c>
      <c r="N59" s="34">
        <f>M59/L59</f>
        <v>0.31235505837228766</v>
      </c>
      <c r="O59" s="32">
        <v>268758</v>
      </c>
      <c r="P59" s="34">
        <f>O59/D45</f>
        <v>7.0569403960328972E-2</v>
      </c>
    </row>
    <row r="60" spans="1:16">
      <c r="A60" s="55" t="s">
        <v>20</v>
      </c>
      <c r="B60" s="55"/>
      <c r="C60" s="55"/>
      <c r="D60" s="32">
        <v>30553840</v>
      </c>
      <c r="E60" s="32">
        <v>13262458</v>
      </c>
      <c r="F60" s="32">
        <f t="shared" ref="F60:F69" si="23">E60-C4</f>
        <v>1698797</v>
      </c>
      <c r="G60" s="32">
        <v>10342500</v>
      </c>
      <c r="H60" s="32">
        <f t="shared" ref="H60:H70" si="24">E60-G60</f>
        <v>2919958</v>
      </c>
      <c r="I60" s="34">
        <f t="shared" ref="I60:I69" si="25">H60/G60</f>
        <v>0.28232613004592699</v>
      </c>
      <c r="J60" s="56">
        <f t="shared" ref="J60:J70" si="26">E60/D60</f>
        <v>0.43406845097048358</v>
      </c>
      <c r="K60" s="56"/>
      <c r="L60" s="32">
        <v>14270569</v>
      </c>
      <c r="M60" s="32">
        <v>8784113</v>
      </c>
      <c r="N60" s="34">
        <f t="shared" ref="N60:N69" si="27">M60/L60</f>
        <v>0.61554048755869506</v>
      </c>
      <c r="O60" s="32">
        <v>758164</v>
      </c>
      <c r="P60" s="34">
        <f t="shared" ref="P60:P69" si="28">O60/D46</f>
        <v>2.4658703693295949E-2</v>
      </c>
    </row>
    <row r="61" spans="1:16">
      <c r="A61" s="55" t="s">
        <v>21</v>
      </c>
      <c r="B61" s="55"/>
      <c r="C61" s="55"/>
      <c r="D61" s="32">
        <v>6827646</v>
      </c>
      <c r="E61" s="32">
        <v>4223293</v>
      </c>
      <c r="F61" s="32">
        <f t="shared" si="23"/>
        <v>699748</v>
      </c>
      <c r="G61" s="32">
        <v>2704051</v>
      </c>
      <c r="H61" s="32">
        <f t="shared" si="24"/>
        <v>1519242</v>
      </c>
      <c r="I61" s="34">
        <f t="shared" si="25"/>
        <v>0.56183925525073308</v>
      </c>
      <c r="J61" s="56">
        <f t="shared" si="26"/>
        <v>0.6185576990957059</v>
      </c>
      <c r="K61" s="56"/>
      <c r="L61" s="32">
        <v>5078693</v>
      </c>
      <c r="M61" s="32">
        <v>2682413</v>
      </c>
      <c r="N61" s="34">
        <f t="shared" si="27"/>
        <v>0.52816994451131427</v>
      </c>
      <c r="O61" s="32">
        <v>39572</v>
      </c>
      <c r="P61" s="34">
        <f t="shared" si="28"/>
        <v>5.8173868008003686E-3</v>
      </c>
    </row>
    <row r="62" spans="1:16">
      <c r="A62" s="55" t="s">
        <v>22</v>
      </c>
      <c r="B62" s="55"/>
      <c r="C62" s="55"/>
      <c r="D62" s="32">
        <v>8935561</v>
      </c>
      <c r="E62" s="32">
        <v>3750642</v>
      </c>
      <c r="F62" s="32">
        <f t="shared" si="23"/>
        <v>848199</v>
      </c>
      <c r="G62" s="32">
        <v>1798313</v>
      </c>
      <c r="H62" s="32">
        <f t="shared" si="24"/>
        <v>1952329</v>
      </c>
      <c r="I62" s="34">
        <f t="shared" si="25"/>
        <v>1.085644712572283</v>
      </c>
      <c r="J62" s="56">
        <f t="shared" si="26"/>
        <v>0.41974331550083982</v>
      </c>
      <c r="K62" s="56"/>
      <c r="L62" s="32">
        <v>6540228</v>
      </c>
      <c r="M62" s="32">
        <v>1908712</v>
      </c>
      <c r="N62" s="34">
        <f t="shared" si="27"/>
        <v>0.29184181346583027</v>
      </c>
      <c r="O62" s="32">
        <v>33542</v>
      </c>
      <c r="P62" s="34">
        <f t="shared" si="28"/>
        <v>3.8077870164021374E-3</v>
      </c>
    </row>
    <row r="63" spans="1:16">
      <c r="A63" s="55" t="s">
        <v>23</v>
      </c>
      <c r="B63" s="55"/>
      <c r="C63" s="55"/>
      <c r="D63" s="32">
        <v>18756631</v>
      </c>
      <c r="E63" s="32">
        <v>7265763</v>
      </c>
      <c r="F63" s="32">
        <f>E63-C7</f>
        <v>735355</v>
      </c>
      <c r="G63" s="32">
        <v>6207195</v>
      </c>
      <c r="H63" s="32">
        <f t="shared" si="24"/>
        <v>1058568</v>
      </c>
      <c r="I63" s="34">
        <f t="shared" si="25"/>
        <v>0.17053886658949816</v>
      </c>
      <c r="J63" s="56">
        <f t="shared" si="26"/>
        <v>0.38737036517911988</v>
      </c>
      <c r="K63" s="56"/>
      <c r="L63" s="32">
        <v>12027616</v>
      </c>
      <c r="M63" s="32">
        <v>5087362</v>
      </c>
      <c r="N63" s="34">
        <f t="shared" si="27"/>
        <v>0.42297343047865843</v>
      </c>
      <c r="O63" s="32">
        <v>362786</v>
      </c>
      <c r="P63" s="34">
        <f t="shared" si="28"/>
        <v>1.9172385794785512E-2</v>
      </c>
    </row>
    <row r="64" spans="1:16">
      <c r="A64" s="55" t="s">
        <v>24</v>
      </c>
      <c r="B64" s="55"/>
      <c r="C64" s="55"/>
      <c r="D64" s="32">
        <v>8183921</v>
      </c>
      <c r="E64" s="32">
        <v>1387156</v>
      </c>
      <c r="F64" s="32">
        <f t="shared" si="23"/>
        <v>272513</v>
      </c>
      <c r="G64" s="32">
        <v>1065339</v>
      </c>
      <c r="H64" s="32">
        <f t="shared" si="24"/>
        <v>321817</v>
      </c>
      <c r="I64" s="34">
        <f t="shared" si="25"/>
        <v>0.3020794319930088</v>
      </c>
      <c r="J64" s="56">
        <f t="shared" si="26"/>
        <v>0.16949772608997571</v>
      </c>
      <c r="K64" s="56"/>
      <c r="L64" s="32">
        <v>3633782</v>
      </c>
      <c r="M64" s="32">
        <v>485057</v>
      </c>
      <c r="N64" s="34">
        <f t="shared" si="27"/>
        <v>0.13348544299025092</v>
      </c>
      <c r="O64" s="32">
        <v>332443</v>
      </c>
      <c r="P64" s="34">
        <f t="shared" si="28"/>
        <v>3.9619685910397204E-2</v>
      </c>
    </row>
    <row r="65" spans="1:16">
      <c r="A65" s="55" t="s">
        <v>25</v>
      </c>
      <c r="B65" s="55"/>
      <c r="C65" s="55"/>
      <c r="D65" s="32">
        <v>12954817</v>
      </c>
      <c r="E65" s="32">
        <v>3025122</v>
      </c>
      <c r="F65" s="32">
        <f t="shared" si="23"/>
        <v>-157904</v>
      </c>
      <c r="G65" s="32">
        <v>3271810</v>
      </c>
      <c r="H65" s="32">
        <f t="shared" si="24"/>
        <v>-246688</v>
      </c>
      <c r="I65" s="34">
        <f t="shared" si="25"/>
        <v>-7.5398021278741734E-2</v>
      </c>
      <c r="J65" s="56">
        <f t="shared" si="26"/>
        <v>0.23351329470728918</v>
      </c>
      <c r="K65" s="56"/>
      <c r="L65" s="32">
        <v>7868028</v>
      </c>
      <c r="M65" s="32">
        <v>2038963</v>
      </c>
      <c r="N65" s="34">
        <f t="shared" si="27"/>
        <v>0.25914536653911246</v>
      </c>
      <c r="O65" s="32">
        <v>80306</v>
      </c>
      <c r="P65" s="34">
        <f t="shared" si="28"/>
        <v>6.1944431588528406E-3</v>
      </c>
    </row>
    <row r="66" spans="1:16">
      <c r="A66" s="55" t="s">
        <v>26</v>
      </c>
      <c r="B66" s="55"/>
      <c r="C66" s="55"/>
      <c r="D66" s="32">
        <v>22178182</v>
      </c>
      <c r="E66" s="32">
        <v>10132442</v>
      </c>
      <c r="F66" s="32">
        <f t="shared" si="23"/>
        <v>119848</v>
      </c>
      <c r="G66" s="32">
        <v>10695571</v>
      </c>
      <c r="H66" s="32">
        <f t="shared" si="24"/>
        <v>-563129</v>
      </c>
      <c r="I66" s="34">
        <f t="shared" si="25"/>
        <v>-5.2650671946359855E-2</v>
      </c>
      <c r="J66" s="56">
        <f t="shared" si="26"/>
        <v>0.45686531024048771</v>
      </c>
      <c r="K66" s="56"/>
      <c r="L66" s="32">
        <v>14909001</v>
      </c>
      <c r="M66" s="32">
        <v>7189960</v>
      </c>
      <c r="N66" s="34">
        <f t="shared" si="27"/>
        <v>0.48225632287502024</v>
      </c>
      <c r="O66" s="32">
        <v>207132</v>
      </c>
      <c r="P66" s="34">
        <f t="shared" si="28"/>
        <v>9.3387992862851103E-3</v>
      </c>
    </row>
    <row r="67" spans="1:16">
      <c r="A67" s="55" t="s">
        <v>27</v>
      </c>
      <c r="B67" s="55"/>
      <c r="C67" s="55"/>
      <c r="D67" s="32">
        <v>3386358</v>
      </c>
      <c r="E67" s="32">
        <v>1059196</v>
      </c>
      <c r="F67" s="32">
        <f t="shared" si="23"/>
        <v>-85951</v>
      </c>
      <c r="G67" s="32">
        <v>1118973</v>
      </c>
      <c r="H67" s="32">
        <f t="shared" si="24"/>
        <v>-59777</v>
      </c>
      <c r="I67" s="34">
        <f t="shared" si="25"/>
        <v>-5.3421306859057369E-2</v>
      </c>
      <c r="J67" s="56">
        <f t="shared" si="26"/>
        <v>0.31278323201504388</v>
      </c>
      <c r="K67" s="56"/>
      <c r="L67" s="32">
        <v>1660991</v>
      </c>
      <c r="M67" s="32">
        <v>619529</v>
      </c>
      <c r="N67" s="34">
        <f t="shared" si="27"/>
        <v>0.37298757187727088</v>
      </c>
      <c r="O67" s="32">
        <v>26721</v>
      </c>
      <c r="P67" s="34">
        <f t="shared" si="28"/>
        <v>7.8396913530442945E-3</v>
      </c>
    </row>
    <row r="68" spans="1:16">
      <c r="A68" s="55" t="s">
        <v>28</v>
      </c>
      <c r="B68" s="55"/>
      <c r="C68" s="55"/>
      <c r="D68" s="32">
        <v>15928557</v>
      </c>
      <c r="E68" s="32">
        <v>8850902</v>
      </c>
      <c r="F68" s="32">
        <f t="shared" si="23"/>
        <v>979738</v>
      </c>
      <c r="G68" s="32">
        <v>6614787</v>
      </c>
      <c r="H68" s="32">
        <f t="shared" si="24"/>
        <v>2236115</v>
      </c>
      <c r="I68" s="34">
        <f t="shared" si="25"/>
        <v>0.33804792202681661</v>
      </c>
      <c r="J68" s="56">
        <f t="shared" si="26"/>
        <v>0.55566251230415908</v>
      </c>
      <c r="K68" s="56"/>
      <c r="L68" s="32">
        <v>12160099</v>
      </c>
      <c r="M68" s="32">
        <v>3911494</v>
      </c>
      <c r="N68" s="34">
        <f t="shared" si="27"/>
        <v>0.32166629564446803</v>
      </c>
      <c r="O68" s="32">
        <v>178062</v>
      </c>
      <c r="P68" s="34">
        <f t="shared" si="28"/>
        <v>1.1272129678045865E-2</v>
      </c>
    </row>
    <row r="69" spans="1:16">
      <c r="A69" s="55" t="s">
        <v>29</v>
      </c>
      <c r="B69" s="55"/>
      <c r="C69" s="55"/>
      <c r="D69" s="32">
        <v>2782254</v>
      </c>
      <c r="E69" s="32">
        <v>299154</v>
      </c>
      <c r="F69" s="32">
        <f t="shared" si="23"/>
        <v>-24955</v>
      </c>
      <c r="G69" s="32">
        <v>312824</v>
      </c>
      <c r="H69" s="32">
        <f t="shared" si="24"/>
        <v>-13670</v>
      </c>
      <c r="I69" s="34">
        <f t="shared" si="25"/>
        <v>-4.3698693194895534E-2</v>
      </c>
      <c r="J69" s="56">
        <f t="shared" si="26"/>
        <v>0.10752217446717661</v>
      </c>
      <c r="K69" s="56"/>
      <c r="L69" s="32">
        <v>1488359</v>
      </c>
      <c r="M69" s="32">
        <v>105096</v>
      </c>
      <c r="N69" s="34">
        <f t="shared" si="27"/>
        <v>7.0611996164903768E-2</v>
      </c>
      <c r="O69" s="32">
        <v>1545</v>
      </c>
      <c r="P69" s="34">
        <f t="shared" si="28"/>
        <v>5.557326066485043E-4</v>
      </c>
    </row>
    <row r="70" spans="1:16">
      <c r="A70" s="57" t="s">
        <v>30</v>
      </c>
      <c r="B70" s="57"/>
      <c r="C70" s="57"/>
      <c r="D70" s="35">
        <f>SUM(D59:D69)</f>
        <v>134114421</v>
      </c>
      <c r="E70" s="35">
        <f>SUM(E59:E69)</f>
        <v>54872561</v>
      </c>
      <c r="F70" s="35">
        <f>SUM(F59:F69)</f>
        <v>5703596</v>
      </c>
      <c r="G70" s="36">
        <f>SUM(G59:G69)</f>
        <v>44864150</v>
      </c>
      <c r="H70" s="36">
        <f t="shared" si="24"/>
        <v>10008411</v>
      </c>
      <c r="I70" s="37">
        <f>H70/G70</f>
        <v>0.2230825949003826</v>
      </c>
      <c r="J70" s="58">
        <f t="shared" si="26"/>
        <v>0.4091473578370815</v>
      </c>
      <c r="K70" s="58"/>
      <c r="L70" s="38">
        <f>SUM(L59:L69)</f>
        <v>82468247</v>
      </c>
      <c r="M70" s="39">
        <f>SUM(M59:M69)</f>
        <v>33696939</v>
      </c>
      <c r="N70" s="37">
        <f>M70/L70</f>
        <v>0.40860501133242227</v>
      </c>
      <c r="O70" s="35">
        <f>SUM(O59:O69)</f>
        <v>2289031</v>
      </c>
      <c r="P70" s="37">
        <f>O70/D56</f>
        <v>1.7005140400828539E-2</v>
      </c>
    </row>
    <row r="71" spans="1:16">
      <c r="A71" s="59" t="s">
        <v>176</v>
      </c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</row>
    <row r="72" spans="1:16">
      <c r="A72" s="60" t="s">
        <v>149</v>
      </c>
      <c r="B72" s="60"/>
      <c r="C72" s="60"/>
      <c r="D72" s="33" t="s">
        <v>177</v>
      </c>
      <c r="E72" s="33" t="s">
        <v>178</v>
      </c>
      <c r="F72" s="33" t="s">
        <v>179</v>
      </c>
      <c r="G72" s="33" t="s">
        <v>180</v>
      </c>
      <c r="H72" s="33" t="s">
        <v>181</v>
      </c>
      <c r="I72" s="33" t="s">
        <v>186</v>
      </c>
      <c r="J72" s="61" t="s">
        <v>182</v>
      </c>
      <c r="K72" s="61"/>
      <c r="L72" s="33" t="s">
        <v>183</v>
      </c>
      <c r="M72" s="33" t="s">
        <v>184</v>
      </c>
      <c r="N72" s="33" t="s">
        <v>187</v>
      </c>
      <c r="O72" s="33" t="s">
        <v>185</v>
      </c>
      <c r="P72" s="33" t="s">
        <v>188</v>
      </c>
    </row>
    <row r="73" spans="1:16">
      <c r="A73" s="55" t="s">
        <v>19</v>
      </c>
      <c r="B73" s="55"/>
      <c r="C73" s="55"/>
      <c r="D73" s="32">
        <v>3150349</v>
      </c>
      <c r="E73" s="32">
        <v>1708072</v>
      </c>
      <c r="F73" s="32">
        <f>E73-C3</f>
        <v>709847</v>
      </c>
      <c r="G73" s="40">
        <v>884208</v>
      </c>
      <c r="H73" s="32">
        <f>E73-G73</f>
        <v>823864</v>
      </c>
      <c r="I73" s="34">
        <f>H73/G73</f>
        <v>0.93175361453413674</v>
      </c>
      <c r="J73" s="56">
        <f>E73/D73</f>
        <v>0.5421850087085589</v>
      </c>
      <c r="K73" s="56"/>
      <c r="L73" s="32">
        <v>2475532</v>
      </c>
      <c r="M73" s="32">
        <v>976393</v>
      </c>
      <c r="N73" s="34">
        <f>M73/L73</f>
        <v>0.39441744239218074</v>
      </c>
      <c r="O73" s="32">
        <v>582165</v>
      </c>
      <c r="P73" s="34">
        <f>O73/D59</f>
        <v>0.16052399815367002</v>
      </c>
    </row>
    <row r="74" spans="1:16">
      <c r="A74" s="55" t="s">
        <v>20</v>
      </c>
      <c r="B74" s="55"/>
      <c r="C74" s="55"/>
      <c r="D74" s="32">
        <v>30475510</v>
      </c>
      <c r="E74" s="32">
        <v>13882297</v>
      </c>
      <c r="F74" s="32">
        <f t="shared" ref="F74:F83" si="29">E74-C4</f>
        <v>2318636</v>
      </c>
      <c r="G74" s="40">
        <v>10498032</v>
      </c>
      <c r="H74" s="32">
        <f t="shared" ref="H74:H84" si="30">E74-G74</f>
        <v>3384265</v>
      </c>
      <c r="I74" s="34">
        <f t="shared" ref="I74:I83" si="31">H74/G74</f>
        <v>0.32237137398704824</v>
      </c>
      <c r="J74" s="56">
        <f t="shared" ref="J74:J83" si="32">E74/D74</f>
        <v>0.45552304128790627</v>
      </c>
      <c r="K74" s="56"/>
      <c r="L74" s="32">
        <v>15013801</v>
      </c>
      <c r="M74" s="32">
        <v>9126857</v>
      </c>
      <c r="N74" s="34">
        <f t="shared" ref="N74:N83" si="33">M74/L74</f>
        <v>0.6078978268061499</v>
      </c>
      <c r="O74" s="32">
        <v>523077</v>
      </c>
      <c r="P74" s="34">
        <f t="shared" ref="P74:P83" si="34">O74/D60</f>
        <v>1.7119844837833804E-2</v>
      </c>
    </row>
    <row r="75" spans="1:16">
      <c r="A75" s="55" t="s">
        <v>21</v>
      </c>
      <c r="B75" s="55"/>
      <c r="C75" s="55"/>
      <c r="D75" s="32">
        <v>6896090</v>
      </c>
      <c r="E75" s="32">
        <v>4405664</v>
      </c>
      <c r="F75" s="32">
        <f t="shared" si="29"/>
        <v>882119</v>
      </c>
      <c r="G75" s="40">
        <v>3254185</v>
      </c>
      <c r="H75" s="32">
        <f t="shared" si="30"/>
        <v>1151479</v>
      </c>
      <c r="I75" s="34">
        <f t="shared" si="31"/>
        <v>0.35384558652934606</v>
      </c>
      <c r="J75" s="56">
        <f t="shared" si="32"/>
        <v>0.63886405194827789</v>
      </c>
      <c r="K75" s="56"/>
      <c r="L75" s="32">
        <v>5129804</v>
      </c>
      <c r="M75" s="32">
        <v>2751211</v>
      </c>
      <c r="N75" s="34">
        <f t="shared" si="33"/>
        <v>0.53631893148354204</v>
      </c>
      <c r="O75" s="32">
        <v>38307</v>
      </c>
      <c r="P75" s="34">
        <f t="shared" si="34"/>
        <v>5.6105720771112031E-3</v>
      </c>
    </row>
    <row r="76" spans="1:16">
      <c r="A76" s="55" t="s">
        <v>22</v>
      </c>
      <c r="B76" s="55"/>
      <c r="C76" s="55"/>
      <c r="D76" s="32">
        <v>8768724</v>
      </c>
      <c r="E76" s="32">
        <v>4060561</v>
      </c>
      <c r="F76" s="32">
        <f t="shared" si="29"/>
        <v>1158118</v>
      </c>
      <c r="G76" s="40">
        <v>2055811</v>
      </c>
      <c r="H76" s="32">
        <f t="shared" si="30"/>
        <v>2004750</v>
      </c>
      <c r="I76" s="34">
        <f t="shared" si="31"/>
        <v>0.97516260006391642</v>
      </c>
      <c r="J76" s="56">
        <f t="shared" si="32"/>
        <v>0.46307319058052232</v>
      </c>
      <c r="K76" s="56"/>
      <c r="L76" s="32">
        <v>6661804</v>
      </c>
      <c r="M76" s="32">
        <v>2061668</v>
      </c>
      <c r="N76" s="34">
        <f t="shared" si="33"/>
        <v>0.30947593174461452</v>
      </c>
      <c r="O76" s="32">
        <v>395469</v>
      </c>
      <c r="P76" s="34">
        <f t="shared" si="34"/>
        <v>4.4257881514098554E-2</v>
      </c>
    </row>
    <row r="77" spans="1:16">
      <c r="A77" s="55" t="s">
        <v>23</v>
      </c>
      <c r="B77" s="55"/>
      <c r="C77" s="55"/>
      <c r="D77" s="32">
        <v>16898867</v>
      </c>
      <c r="E77" s="32">
        <v>7495070</v>
      </c>
      <c r="F77" s="32">
        <f t="shared" si="29"/>
        <v>964662</v>
      </c>
      <c r="G77" s="40">
        <v>6306012</v>
      </c>
      <c r="H77" s="32">
        <f t="shared" si="30"/>
        <v>1189058</v>
      </c>
      <c r="I77" s="34">
        <f t="shared" si="31"/>
        <v>0.18855942551330382</v>
      </c>
      <c r="J77" s="56">
        <f t="shared" si="32"/>
        <v>0.4435250008181022</v>
      </c>
      <c r="K77" s="56"/>
      <c r="L77" s="32">
        <v>11175401</v>
      </c>
      <c r="M77" s="32">
        <v>5122252</v>
      </c>
      <c r="N77" s="34">
        <f t="shared" si="33"/>
        <v>0.45835062204926696</v>
      </c>
      <c r="O77" s="32">
        <v>1988494</v>
      </c>
      <c r="P77" s="34">
        <f t="shared" si="34"/>
        <v>0.10601552059109122</v>
      </c>
    </row>
    <row r="78" spans="1:16">
      <c r="A78" s="55" t="s">
        <v>24</v>
      </c>
      <c r="B78" s="55"/>
      <c r="C78" s="55"/>
      <c r="D78" s="32">
        <v>7603570</v>
      </c>
      <c r="E78" s="32">
        <v>1432439</v>
      </c>
      <c r="F78" s="32">
        <f t="shared" si="29"/>
        <v>317796</v>
      </c>
      <c r="G78" s="40">
        <v>1053467</v>
      </c>
      <c r="H78" s="32">
        <f t="shared" si="30"/>
        <v>378972</v>
      </c>
      <c r="I78" s="34">
        <f t="shared" si="31"/>
        <v>0.35973789402041068</v>
      </c>
      <c r="J78" s="56">
        <f t="shared" si="32"/>
        <v>0.18839032191457433</v>
      </c>
      <c r="K78" s="56"/>
      <c r="L78" s="32">
        <v>4024421</v>
      </c>
      <c r="M78" s="32">
        <v>537311</v>
      </c>
      <c r="N78" s="34">
        <f t="shared" si="33"/>
        <v>0.13351262206414288</v>
      </c>
      <c r="O78" s="32">
        <v>746911</v>
      </c>
      <c r="P78" s="34">
        <f t="shared" si="34"/>
        <v>9.1265665932014739E-2</v>
      </c>
    </row>
    <row r="79" spans="1:16">
      <c r="A79" s="55" t="s">
        <v>25</v>
      </c>
      <c r="B79" s="55"/>
      <c r="C79" s="55"/>
      <c r="D79" s="32">
        <v>12839260</v>
      </c>
      <c r="E79" s="32">
        <v>3440904</v>
      </c>
      <c r="F79" s="32">
        <f t="shared" si="29"/>
        <v>257878</v>
      </c>
      <c r="G79" s="40">
        <v>3347822</v>
      </c>
      <c r="H79" s="32">
        <f t="shared" si="30"/>
        <v>93082</v>
      </c>
      <c r="I79" s="34">
        <f t="shared" si="31"/>
        <v>2.7803748227952382E-2</v>
      </c>
      <c r="J79" s="56">
        <f t="shared" si="32"/>
        <v>0.26799862297359817</v>
      </c>
      <c r="K79" s="56"/>
      <c r="L79" s="32">
        <v>7636010</v>
      </c>
      <c r="M79" s="32">
        <v>2076625</v>
      </c>
      <c r="N79" s="34">
        <f t="shared" si="33"/>
        <v>0.27195158204350178</v>
      </c>
      <c r="O79" s="32">
        <v>170793</v>
      </c>
      <c r="P79" s="34">
        <f t="shared" si="34"/>
        <v>1.3183744702839105E-2</v>
      </c>
    </row>
    <row r="80" spans="1:16">
      <c r="A80" s="55" t="s">
        <v>26</v>
      </c>
      <c r="B80" s="55"/>
      <c r="C80" s="55"/>
      <c r="D80" s="32">
        <v>21222494</v>
      </c>
      <c r="E80" s="32">
        <v>11139355</v>
      </c>
      <c r="F80" s="32">
        <f t="shared" si="29"/>
        <v>1126761</v>
      </c>
      <c r="G80" s="40">
        <v>10768159</v>
      </c>
      <c r="H80" s="32">
        <f t="shared" si="30"/>
        <v>371196</v>
      </c>
      <c r="I80" s="34">
        <f t="shared" si="31"/>
        <v>3.4471630665929058E-2</v>
      </c>
      <c r="J80" s="56">
        <f t="shared" si="32"/>
        <v>0.52488435148102763</v>
      </c>
      <c r="K80" s="56"/>
      <c r="L80" s="32">
        <v>14848844</v>
      </c>
      <c r="M80" s="32">
        <v>7155107</v>
      </c>
      <c r="N80" s="34">
        <f t="shared" si="33"/>
        <v>0.4818628978794578</v>
      </c>
      <c r="O80" s="32">
        <v>1053203</v>
      </c>
      <c r="P80" s="34">
        <f t="shared" si="34"/>
        <v>4.7488247684142913E-2</v>
      </c>
    </row>
    <row r="81" spans="1:16">
      <c r="A81" s="55" t="s">
        <v>27</v>
      </c>
      <c r="B81" s="55"/>
      <c r="C81" s="55"/>
      <c r="D81" s="32">
        <v>3125405</v>
      </c>
      <c r="E81" s="32">
        <v>1036625</v>
      </c>
      <c r="F81" s="32">
        <f t="shared" si="29"/>
        <v>-108522</v>
      </c>
      <c r="G81" s="40">
        <v>1140743</v>
      </c>
      <c r="H81" s="32">
        <f t="shared" si="30"/>
        <v>-104118</v>
      </c>
      <c r="I81" s="34">
        <f t="shared" si="31"/>
        <v>-9.1272091961116575E-2</v>
      </c>
      <c r="J81" s="56">
        <f t="shared" si="32"/>
        <v>0.3316770146589002</v>
      </c>
      <c r="K81" s="56"/>
      <c r="L81" s="32">
        <v>1596246</v>
      </c>
      <c r="M81" s="32">
        <v>604898</v>
      </c>
      <c r="N81" s="34">
        <f t="shared" si="33"/>
        <v>0.37895036228751711</v>
      </c>
      <c r="O81" s="32">
        <v>263887</v>
      </c>
      <c r="P81" s="34">
        <f t="shared" si="34"/>
        <v>7.7926492119262045E-2</v>
      </c>
    </row>
    <row r="82" spans="1:16">
      <c r="A82" s="55" t="s">
        <v>28</v>
      </c>
      <c r="B82" s="55"/>
      <c r="C82" s="55"/>
      <c r="D82" s="32">
        <v>16393251</v>
      </c>
      <c r="E82" s="32">
        <v>8555761</v>
      </c>
      <c r="F82" s="32">
        <f t="shared" si="29"/>
        <v>684597</v>
      </c>
      <c r="G82" s="40">
        <v>6756439</v>
      </c>
      <c r="H82" s="32">
        <f t="shared" si="30"/>
        <v>1799322</v>
      </c>
      <c r="I82" s="34">
        <f t="shared" si="31"/>
        <v>0.2663121801292071</v>
      </c>
      <c r="J82" s="56">
        <f t="shared" si="32"/>
        <v>0.5219075215770197</v>
      </c>
      <c r="K82" s="56"/>
      <c r="L82" s="32">
        <v>12056392</v>
      </c>
      <c r="M82" s="32">
        <v>3851994</v>
      </c>
      <c r="N82" s="34">
        <f t="shared" si="33"/>
        <v>0.31949807206003256</v>
      </c>
      <c r="O82" s="32">
        <v>72290</v>
      </c>
      <c r="P82" s="34">
        <f t="shared" si="34"/>
        <v>4.5383897612319814E-3</v>
      </c>
    </row>
    <row r="83" spans="1:16">
      <c r="A83" s="55" t="s">
        <v>29</v>
      </c>
      <c r="B83" s="55"/>
      <c r="C83" s="55"/>
      <c r="D83" s="32">
        <v>2717882</v>
      </c>
      <c r="E83" s="32">
        <v>290787</v>
      </c>
      <c r="F83" s="32">
        <f t="shared" si="29"/>
        <v>-33322</v>
      </c>
      <c r="G83" s="40">
        <v>312815</v>
      </c>
      <c r="H83" s="32">
        <f t="shared" si="30"/>
        <v>-22028</v>
      </c>
      <c r="I83" s="34">
        <f t="shared" si="31"/>
        <v>-7.0418618033022712E-2</v>
      </c>
      <c r="J83" s="56">
        <f t="shared" si="32"/>
        <v>0.10699029612028778</v>
      </c>
      <c r="K83" s="56"/>
      <c r="L83" s="32">
        <v>1182169</v>
      </c>
      <c r="M83" s="32">
        <v>104864</v>
      </c>
      <c r="N83" s="34">
        <f t="shared" si="33"/>
        <v>8.8704745260618403E-2</v>
      </c>
      <c r="O83" s="32">
        <v>67984</v>
      </c>
      <c r="P83" s="34">
        <f t="shared" si="34"/>
        <v>2.4434864681657391E-2</v>
      </c>
    </row>
    <row r="84" spans="1:16">
      <c r="A84" s="57" t="s">
        <v>30</v>
      </c>
      <c r="B84" s="57"/>
      <c r="C84" s="57"/>
      <c r="D84" s="35">
        <f>SUM(D73:D83)</f>
        <v>130091402</v>
      </c>
      <c r="E84" s="35">
        <f>SUM(E73:E83)</f>
        <v>57447535</v>
      </c>
      <c r="F84" s="35">
        <f>SUM(F73:F83)</f>
        <v>8278570</v>
      </c>
      <c r="G84" s="36">
        <f>SUM(G73:G83)</f>
        <v>46377693</v>
      </c>
      <c r="H84" s="36">
        <f t="shared" si="30"/>
        <v>11069842</v>
      </c>
      <c r="I84" s="37">
        <f>H84/G84</f>
        <v>0.23868893176726147</v>
      </c>
      <c r="J84" s="58">
        <f>E84/D84</f>
        <v>0.4415936342972151</v>
      </c>
      <c r="K84" s="58"/>
      <c r="L84" s="38">
        <f>SUM(L73:L83)</f>
        <v>81800424</v>
      </c>
      <c r="M84" s="39">
        <f>SUM(M73:M83)</f>
        <v>34369180</v>
      </c>
      <c r="N84" s="37">
        <f>M84/L84</f>
        <v>0.42015894685338062</v>
      </c>
      <c r="O84" s="35">
        <f>SUM(O73:O83)</f>
        <v>5902580</v>
      </c>
      <c r="P84" s="37">
        <f>O84/D70</f>
        <v>4.4011523563152091E-2</v>
      </c>
    </row>
    <row r="85" spans="1:16">
      <c r="A85" s="59" t="s">
        <v>189</v>
      </c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</row>
    <row r="86" spans="1:16">
      <c r="A86" s="60" t="s">
        <v>149</v>
      </c>
      <c r="B86" s="60"/>
      <c r="C86" s="60"/>
      <c r="D86" s="33" t="s">
        <v>190</v>
      </c>
      <c r="E86" s="33" t="s">
        <v>191</v>
      </c>
      <c r="F86" s="33" t="s">
        <v>192</v>
      </c>
      <c r="G86" s="33" t="s">
        <v>193</v>
      </c>
      <c r="H86" s="33" t="s">
        <v>195</v>
      </c>
      <c r="I86" s="33" t="s">
        <v>194</v>
      </c>
      <c r="J86" s="61" t="s">
        <v>196</v>
      </c>
      <c r="K86" s="61"/>
      <c r="L86" s="33" t="s">
        <v>197</v>
      </c>
      <c r="M86" s="33" t="s">
        <v>198</v>
      </c>
      <c r="N86" s="33" t="s">
        <v>201</v>
      </c>
      <c r="O86" s="33" t="s">
        <v>199</v>
      </c>
      <c r="P86" s="33" t="s">
        <v>200</v>
      </c>
    </row>
    <row r="87" spans="1:16">
      <c r="A87" s="55" t="s">
        <v>19</v>
      </c>
      <c r="B87" s="55"/>
      <c r="C87" s="55"/>
      <c r="D87" s="32">
        <v>3184688</v>
      </c>
      <c r="E87" s="32">
        <v>1808960</v>
      </c>
      <c r="F87" s="32">
        <f>E87-C3</f>
        <v>810735</v>
      </c>
      <c r="G87" s="40">
        <v>904781</v>
      </c>
      <c r="H87" s="32">
        <f>E87-G87</f>
        <v>904179</v>
      </c>
      <c r="I87" s="34">
        <f>H87/G87</f>
        <v>0.9993346456214266</v>
      </c>
      <c r="J87" s="56">
        <f>E87/D87</f>
        <v>0.56801796596715282</v>
      </c>
      <c r="K87" s="56"/>
      <c r="L87" s="32">
        <v>2522950</v>
      </c>
      <c r="M87" s="32">
        <v>1019527</v>
      </c>
      <c r="N87" s="34">
        <f>M87/L87</f>
        <v>0.40410115142987374</v>
      </c>
      <c r="O87" s="32">
        <v>108910</v>
      </c>
      <c r="P87" s="34">
        <f>O87/D73</f>
        <v>3.4570772952457016E-2</v>
      </c>
    </row>
    <row r="88" spans="1:16">
      <c r="A88" s="55" t="s">
        <v>20</v>
      </c>
      <c r="B88" s="55"/>
      <c r="C88" s="55"/>
      <c r="D88" s="32">
        <v>27837007</v>
      </c>
      <c r="E88" s="32">
        <v>14278910</v>
      </c>
      <c r="F88" s="32">
        <f t="shared" ref="F88:F97" si="35">E88-C4</f>
        <v>2715249</v>
      </c>
      <c r="G88" s="40">
        <v>10813182</v>
      </c>
      <c r="H88" s="32">
        <f t="shared" ref="H88:H98" si="36">E88-G88</f>
        <v>3465728</v>
      </c>
      <c r="I88" s="34">
        <f t="shared" ref="I88:I97" si="37">H88/G88</f>
        <v>0.32050954103981605</v>
      </c>
      <c r="J88" s="56">
        <f t="shared" ref="J88:J97" si="38">E88/D88</f>
        <v>0.5129470276743473</v>
      </c>
      <c r="K88" s="56"/>
      <c r="L88" s="32">
        <v>15379307</v>
      </c>
      <c r="M88" s="32">
        <v>9438021</v>
      </c>
      <c r="N88" s="34">
        <f t="shared" ref="N88:N97" si="39">M88/L88</f>
        <v>0.61368311328982506</v>
      </c>
      <c r="O88" s="32">
        <v>2919057</v>
      </c>
      <c r="P88" s="34">
        <f t="shared" ref="P88:P97" si="40">O88/D74</f>
        <v>9.5783696482848027E-2</v>
      </c>
    </row>
    <row r="89" spans="1:16">
      <c r="A89" s="55" t="s">
        <v>21</v>
      </c>
      <c r="B89" s="55"/>
      <c r="C89" s="55"/>
      <c r="D89" s="32">
        <v>6274912</v>
      </c>
      <c r="E89" s="32">
        <v>4332308</v>
      </c>
      <c r="F89" s="32">
        <f t="shared" si="35"/>
        <v>808763</v>
      </c>
      <c r="G89" s="40">
        <v>3228307</v>
      </c>
      <c r="H89" s="32">
        <f t="shared" si="36"/>
        <v>1104001</v>
      </c>
      <c r="I89" s="34">
        <f t="shared" si="37"/>
        <v>0.3419752210678848</v>
      </c>
      <c r="J89" s="56">
        <f t="shared" si="38"/>
        <v>0.69041733174903486</v>
      </c>
      <c r="K89" s="56"/>
      <c r="L89" s="32">
        <v>5055911</v>
      </c>
      <c r="M89" s="32">
        <v>2859612</v>
      </c>
      <c r="N89" s="34">
        <f t="shared" si="39"/>
        <v>0.56559777258737343</v>
      </c>
      <c r="O89" s="32">
        <v>709945</v>
      </c>
      <c r="P89" s="34">
        <f t="shared" si="40"/>
        <v>0.10294891743002194</v>
      </c>
    </row>
    <row r="90" spans="1:16">
      <c r="A90" s="55" t="s">
        <v>22</v>
      </c>
      <c r="B90" s="55"/>
      <c r="C90" s="55"/>
      <c r="D90" s="32">
        <v>8841522</v>
      </c>
      <c r="E90" s="32">
        <v>4358199</v>
      </c>
      <c r="F90" s="32">
        <f t="shared" si="35"/>
        <v>1455756</v>
      </c>
      <c r="G90" s="40">
        <v>1942829</v>
      </c>
      <c r="H90" s="32">
        <f t="shared" si="36"/>
        <v>2415370</v>
      </c>
      <c r="I90" s="34">
        <f t="shared" si="37"/>
        <v>1.2432231555118849</v>
      </c>
      <c r="J90" s="56">
        <f t="shared" si="38"/>
        <v>0.49292406895554858</v>
      </c>
      <c r="K90" s="56"/>
      <c r="L90" s="32">
        <v>6687951</v>
      </c>
      <c r="M90" s="32">
        <v>2204603</v>
      </c>
      <c r="N90" s="34">
        <f t="shared" si="39"/>
        <v>0.32963803113988127</v>
      </c>
      <c r="O90" s="32">
        <v>310811</v>
      </c>
      <c r="P90" s="34">
        <f t="shared" si="40"/>
        <v>3.5445408020596841E-2</v>
      </c>
    </row>
    <row r="91" spans="1:16">
      <c r="A91" s="55" t="s">
        <v>23</v>
      </c>
      <c r="B91" s="55"/>
      <c r="C91" s="55"/>
      <c r="D91" s="32">
        <v>16782154</v>
      </c>
      <c r="E91" s="32">
        <v>7603958</v>
      </c>
      <c r="F91" s="32">
        <f t="shared" si="35"/>
        <v>1073550</v>
      </c>
      <c r="G91" s="40">
        <v>6368564</v>
      </c>
      <c r="H91" s="32">
        <f t="shared" si="36"/>
        <v>1235394</v>
      </c>
      <c r="I91" s="34">
        <f t="shared" si="37"/>
        <v>0.19398313340338574</v>
      </c>
      <c r="J91" s="56">
        <f t="shared" si="38"/>
        <v>0.45309785621082965</v>
      </c>
      <c r="K91" s="56"/>
      <c r="L91" s="32">
        <v>11691757</v>
      </c>
      <c r="M91" s="32">
        <v>5191169</v>
      </c>
      <c r="N91" s="34">
        <f t="shared" si="39"/>
        <v>0.44400247114270336</v>
      </c>
      <c r="O91" s="32">
        <v>375516</v>
      </c>
      <c r="P91" s="34">
        <f t="shared" si="40"/>
        <v>2.2221371409100975E-2</v>
      </c>
    </row>
    <row r="92" spans="1:16">
      <c r="A92" s="55" t="s">
        <v>24</v>
      </c>
      <c r="B92" s="55"/>
      <c r="C92" s="55"/>
      <c r="D92" s="32">
        <v>7474185</v>
      </c>
      <c r="E92" s="32">
        <v>1319663</v>
      </c>
      <c r="F92" s="32">
        <f t="shared" si="35"/>
        <v>205020</v>
      </c>
      <c r="G92" s="40">
        <v>1402885</v>
      </c>
      <c r="H92" s="32">
        <f t="shared" si="36"/>
        <v>-83222</v>
      </c>
      <c r="I92" s="34">
        <f t="shared" si="37"/>
        <v>-5.9322039939125444E-2</v>
      </c>
      <c r="J92" s="56">
        <f t="shared" si="38"/>
        <v>0.17656279580984416</v>
      </c>
      <c r="K92" s="56"/>
      <c r="L92" s="32">
        <v>4294493</v>
      </c>
      <c r="M92" s="32">
        <v>571857</v>
      </c>
      <c r="N92" s="34">
        <f t="shared" si="39"/>
        <v>0.13316053839184278</v>
      </c>
      <c r="O92" s="32">
        <v>257441</v>
      </c>
      <c r="P92" s="34">
        <f t="shared" si="40"/>
        <v>3.3857911481054291E-2</v>
      </c>
    </row>
    <row r="93" spans="1:16">
      <c r="A93" s="55" t="s">
        <v>25</v>
      </c>
      <c r="B93" s="55"/>
      <c r="C93" s="55"/>
      <c r="D93" s="32">
        <v>11027829</v>
      </c>
      <c r="E93" s="32">
        <v>3230278</v>
      </c>
      <c r="F93" s="32">
        <f t="shared" si="35"/>
        <v>47252</v>
      </c>
      <c r="G93" s="40">
        <v>3418444</v>
      </c>
      <c r="H93" s="32">
        <f t="shared" si="36"/>
        <v>-188166</v>
      </c>
      <c r="I93" s="34">
        <f t="shared" si="37"/>
        <v>-5.5044341811654657E-2</v>
      </c>
      <c r="J93" s="56">
        <f t="shared" si="38"/>
        <v>0.29292057394070947</v>
      </c>
      <c r="K93" s="56"/>
      <c r="L93" s="32">
        <v>6983251</v>
      </c>
      <c r="M93" s="32">
        <v>2013283</v>
      </c>
      <c r="N93" s="34">
        <f t="shared" si="39"/>
        <v>0.28830168069284634</v>
      </c>
      <c r="O93" s="32">
        <v>1840612</v>
      </c>
      <c r="P93" s="34">
        <f t="shared" si="40"/>
        <v>0.14335810630830748</v>
      </c>
    </row>
    <row r="94" spans="1:16">
      <c r="A94" s="55" t="s">
        <v>26</v>
      </c>
      <c r="B94" s="55"/>
      <c r="C94" s="55"/>
      <c r="D94" s="32">
        <v>21220102</v>
      </c>
      <c r="E94" s="32">
        <v>11110285</v>
      </c>
      <c r="F94" s="32">
        <f t="shared" si="35"/>
        <v>1097691</v>
      </c>
      <c r="G94" s="40">
        <v>9789847</v>
      </c>
      <c r="H94" s="32">
        <f t="shared" si="36"/>
        <v>1320438</v>
      </c>
      <c r="I94" s="34">
        <f t="shared" si="37"/>
        <v>0.13487830810839024</v>
      </c>
      <c r="J94" s="56">
        <f t="shared" si="38"/>
        <v>0.52357359073957321</v>
      </c>
      <c r="K94" s="56"/>
      <c r="L94" s="32">
        <v>14684642</v>
      </c>
      <c r="M94" s="32">
        <v>7253390</v>
      </c>
      <c r="N94" s="34">
        <f t="shared" si="39"/>
        <v>0.49394394497325844</v>
      </c>
      <c r="O94" s="32">
        <v>240405</v>
      </c>
      <c r="P94" s="34">
        <f t="shared" si="40"/>
        <v>1.1327839225681959E-2</v>
      </c>
    </row>
    <row r="95" spans="1:16">
      <c r="A95" s="55" t="s">
        <v>27</v>
      </c>
      <c r="B95" s="55"/>
      <c r="C95" s="55"/>
      <c r="D95" s="32">
        <v>2838388</v>
      </c>
      <c r="E95" s="32">
        <v>995036</v>
      </c>
      <c r="F95" s="32">
        <f t="shared" si="35"/>
        <v>-150111</v>
      </c>
      <c r="G95" s="40">
        <v>1171748</v>
      </c>
      <c r="H95" s="32">
        <f t="shared" si="36"/>
        <v>-176712</v>
      </c>
      <c r="I95" s="34">
        <f t="shared" si="37"/>
        <v>-0.15081058384567331</v>
      </c>
      <c r="J95" s="56">
        <f t="shared" si="38"/>
        <v>0.35056377070365291</v>
      </c>
      <c r="K95" s="56"/>
      <c r="L95" s="32">
        <v>1578661</v>
      </c>
      <c r="M95" s="32">
        <v>578986</v>
      </c>
      <c r="N95" s="34">
        <f t="shared" si="39"/>
        <v>0.36675765094595991</v>
      </c>
      <c r="O95" s="32">
        <v>310918</v>
      </c>
      <c r="P95" s="34">
        <f t="shared" si="40"/>
        <v>9.9480867279600566E-2</v>
      </c>
    </row>
    <row r="96" spans="1:16">
      <c r="A96" s="55" t="s">
        <v>28</v>
      </c>
      <c r="B96" s="55"/>
      <c r="C96" s="55"/>
      <c r="D96" s="32">
        <v>14827112</v>
      </c>
      <c r="E96" s="32">
        <v>9037024</v>
      </c>
      <c r="F96" s="32">
        <f t="shared" si="35"/>
        <v>1165860</v>
      </c>
      <c r="G96" s="40">
        <v>7050750</v>
      </c>
      <c r="H96" s="32">
        <f t="shared" si="36"/>
        <v>1986274</v>
      </c>
      <c r="I96" s="34">
        <f t="shared" si="37"/>
        <v>0.28171102364996631</v>
      </c>
      <c r="J96" s="56">
        <f t="shared" si="38"/>
        <v>0.6094932040710288</v>
      </c>
      <c r="K96" s="56"/>
      <c r="L96" s="32">
        <v>10382974</v>
      </c>
      <c r="M96" s="32">
        <v>3987542</v>
      </c>
      <c r="N96" s="34">
        <f t="shared" si="39"/>
        <v>0.38404622798824306</v>
      </c>
      <c r="O96" s="32">
        <v>2224889</v>
      </c>
      <c r="P96" s="34">
        <f t="shared" si="40"/>
        <v>0.13571981542892256</v>
      </c>
    </row>
    <row r="97" spans="1:16">
      <c r="A97" s="55" t="s">
        <v>29</v>
      </c>
      <c r="B97" s="55"/>
      <c r="C97" s="55"/>
      <c r="D97" s="32">
        <v>2677036</v>
      </c>
      <c r="E97" s="32">
        <v>290108</v>
      </c>
      <c r="F97" s="32">
        <f t="shared" si="35"/>
        <v>-34001</v>
      </c>
      <c r="G97" s="40">
        <v>298860</v>
      </c>
      <c r="H97" s="32">
        <f t="shared" si="36"/>
        <v>-8752</v>
      </c>
      <c r="I97" s="34">
        <f t="shared" si="37"/>
        <v>-2.9284614869838719E-2</v>
      </c>
      <c r="J97" s="56">
        <f t="shared" si="38"/>
        <v>0.10836910672848628</v>
      </c>
      <c r="K97" s="56"/>
      <c r="L97" s="32">
        <v>1417830</v>
      </c>
      <c r="M97" s="32">
        <v>106917</v>
      </c>
      <c r="N97" s="34">
        <f t="shared" si="39"/>
        <v>7.540889951545672E-2</v>
      </c>
      <c r="O97" s="32">
        <v>45225</v>
      </c>
      <c r="P97" s="34">
        <f t="shared" si="40"/>
        <v>1.6639795252332515E-2</v>
      </c>
    </row>
    <row r="98" spans="1:16">
      <c r="A98" s="57" t="s">
        <v>30</v>
      </c>
      <c r="B98" s="57"/>
      <c r="C98" s="57"/>
      <c r="D98" s="35">
        <f>SUM(D87:D97)</f>
        <v>122984935</v>
      </c>
      <c r="E98" s="35">
        <f>SUM(E87:E97)</f>
        <v>58364729</v>
      </c>
      <c r="F98" s="35">
        <f>E98-C14</f>
        <v>9195764</v>
      </c>
      <c r="G98" s="36">
        <f>SUM(G87:G97)</f>
        <v>46390197</v>
      </c>
      <c r="H98" s="36">
        <f t="shared" si="36"/>
        <v>11974532</v>
      </c>
      <c r="I98" s="37">
        <f>H98/G98</f>
        <v>0.25812634509829741</v>
      </c>
      <c r="J98" s="58">
        <f>E98/D98</f>
        <v>0.47456811681853556</v>
      </c>
      <c r="K98" s="58"/>
      <c r="L98" s="38">
        <f>SUM(L87:L97)</f>
        <v>80679727</v>
      </c>
      <c r="M98" s="39">
        <f>SUM(M87:M97)</f>
        <v>35224907</v>
      </c>
      <c r="N98" s="37">
        <f>M98/L98</f>
        <v>0.43660171284416965</v>
      </c>
      <c r="O98" s="35">
        <f>SUM(O87:O97)</f>
        <v>9343729</v>
      </c>
      <c r="P98" s="37">
        <f>O98/D84</f>
        <v>7.1824339321056738E-2</v>
      </c>
    </row>
    <row r="99" spans="1:16">
      <c r="A99" s="59" t="s">
        <v>202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</row>
    <row r="100" spans="1:16">
      <c r="A100" s="60" t="s">
        <v>149</v>
      </c>
      <c r="B100" s="60"/>
      <c r="C100" s="60"/>
      <c r="D100" s="33" t="s">
        <v>203</v>
      </c>
      <c r="E100" s="33" t="s">
        <v>204</v>
      </c>
      <c r="F100" s="33" t="s">
        <v>205</v>
      </c>
      <c r="G100" s="33" t="s">
        <v>206</v>
      </c>
      <c r="H100" s="33" t="s">
        <v>207</v>
      </c>
      <c r="I100" s="33" t="s">
        <v>208</v>
      </c>
      <c r="J100" s="61" t="s">
        <v>209</v>
      </c>
      <c r="K100" s="61"/>
      <c r="L100" s="33" t="s">
        <v>210</v>
      </c>
      <c r="M100" s="33" t="s">
        <v>211</v>
      </c>
      <c r="N100" s="33" t="s">
        <v>212</v>
      </c>
      <c r="O100" s="33" t="s">
        <v>213</v>
      </c>
      <c r="P100" s="33" t="s">
        <v>214</v>
      </c>
    </row>
    <row r="101" spans="1:16">
      <c r="A101" s="55" t="s">
        <v>19</v>
      </c>
      <c r="B101" s="55"/>
      <c r="C101" s="55"/>
      <c r="D101" s="32">
        <v>3157398</v>
      </c>
      <c r="E101" s="32">
        <v>1873527</v>
      </c>
      <c r="F101" s="32">
        <f>E101-C3</f>
        <v>875302</v>
      </c>
      <c r="G101" s="40">
        <v>914998</v>
      </c>
      <c r="H101" s="32">
        <f>E101-G101</f>
        <v>958529</v>
      </c>
      <c r="I101" s="34">
        <f>H101/G101</f>
        <v>1.0475749673769779</v>
      </c>
      <c r="J101" s="56">
        <f>E101/D101</f>
        <v>0.5933768881845114</v>
      </c>
      <c r="K101" s="56"/>
      <c r="L101" s="32">
        <v>2519478</v>
      </c>
      <c r="M101" s="32">
        <v>1079594</v>
      </c>
      <c r="N101" s="34">
        <f>M101/L101</f>
        <v>0.42849907798361409</v>
      </c>
      <c r="O101" s="32">
        <v>90857</v>
      </c>
      <c r="P101" s="34">
        <f>O101/D87</f>
        <v>2.8529325321664162E-2</v>
      </c>
    </row>
    <row r="102" spans="1:16">
      <c r="A102" s="55" t="s">
        <v>20</v>
      </c>
      <c r="B102" s="55"/>
      <c r="C102" s="55"/>
      <c r="D102" s="32">
        <v>26015896</v>
      </c>
      <c r="E102" s="32">
        <v>14550268</v>
      </c>
      <c r="F102" s="32">
        <f t="shared" ref="F102:F111" si="41">E102-C4</f>
        <v>2986607</v>
      </c>
      <c r="G102" s="40">
        <v>10998775</v>
      </c>
      <c r="H102" s="32">
        <f t="shared" ref="H102:H112" si="42">E102-G102</f>
        <v>3551493</v>
      </c>
      <c r="I102" s="34">
        <f t="shared" ref="I102:I111" si="43">H102/G102</f>
        <v>0.32289895920227479</v>
      </c>
      <c r="J102" s="56">
        <f t="shared" ref="J102:J111" si="44">E102/D102</f>
        <v>0.5592837548243581</v>
      </c>
      <c r="K102" s="56"/>
      <c r="L102" s="32">
        <v>15678883</v>
      </c>
      <c r="M102" s="32">
        <v>9653067</v>
      </c>
      <c r="N102" s="34">
        <f t="shared" ref="N102:N112" si="45">M102/L102</f>
        <v>0.61567313181685202</v>
      </c>
      <c r="O102" s="32">
        <v>2185517</v>
      </c>
      <c r="P102" s="34">
        <f t="shared" ref="P102:P111" si="46">O102/D88</f>
        <v>7.8511206323294738E-2</v>
      </c>
    </row>
    <row r="103" spans="1:16">
      <c r="A103" s="55" t="s">
        <v>21</v>
      </c>
      <c r="B103" s="55"/>
      <c r="C103" s="55"/>
      <c r="D103" s="32">
        <v>6423809</v>
      </c>
      <c r="E103" s="32">
        <v>4365185</v>
      </c>
      <c r="F103" s="32">
        <f t="shared" si="41"/>
        <v>841640</v>
      </c>
      <c r="G103" s="40">
        <v>3240764</v>
      </c>
      <c r="H103" s="32">
        <f t="shared" si="42"/>
        <v>1124421</v>
      </c>
      <c r="I103" s="34">
        <f t="shared" si="43"/>
        <v>0.34696170409199806</v>
      </c>
      <c r="J103" s="56">
        <f t="shared" si="44"/>
        <v>0.67953219032508594</v>
      </c>
      <c r="K103" s="56"/>
      <c r="L103" s="32">
        <v>5015423</v>
      </c>
      <c r="M103" s="32">
        <v>2966283</v>
      </c>
      <c r="N103" s="34">
        <f t="shared" si="45"/>
        <v>0.59143226802604687</v>
      </c>
      <c r="O103" s="32">
        <v>65460</v>
      </c>
      <c r="P103" s="34">
        <f t="shared" si="46"/>
        <v>1.0432018807594434E-2</v>
      </c>
    </row>
    <row r="104" spans="1:16">
      <c r="A104" s="55" t="s">
        <v>22</v>
      </c>
      <c r="B104" s="55"/>
      <c r="C104" s="55"/>
      <c r="D104" s="32">
        <v>8961274</v>
      </c>
      <c r="E104" s="32">
        <v>4521975</v>
      </c>
      <c r="F104" s="32">
        <f t="shared" si="41"/>
        <v>1619532</v>
      </c>
      <c r="G104" s="40">
        <v>2378087</v>
      </c>
      <c r="H104" s="32">
        <f t="shared" si="42"/>
        <v>2143888</v>
      </c>
      <c r="I104" s="34">
        <f t="shared" si="43"/>
        <v>0.9015179007328159</v>
      </c>
      <c r="J104" s="56">
        <f t="shared" si="44"/>
        <v>0.50461296016615498</v>
      </c>
      <c r="K104" s="56"/>
      <c r="L104" s="32">
        <v>7081852</v>
      </c>
      <c r="M104" s="32">
        <v>2346139</v>
      </c>
      <c r="N104" s="34">
        <f t="shared" si="45"/>
        <v>0.33128890578340242</v>
      </c>
      <c r="O104" s="32">
        <v>61687</v>
      </c>
      <c r="P104" s="34">
        <f t="shared" si="46"/>
        <v>6.976966182971665E-3</v>
      </c>
    </row>
    <row r="105" spans="1:16">
      <c r="A105" s="55" t="s">
        <v>23</v>
      </c>
      <c r="B105" s="55"/>
      <c r="C105" s="55"/>
      <c r="D105" s="32">
        <v>16709274</v>
      </c>
      <c r="E105" s="32">
        <v>7741938</v>
      </c>
      <c r="F105" s="32">
        <f t="shared" si="41"/>
        <v>1211530</v>
      </c>
      <c r="G105" s="40">
        <v>6421976</v>
      </c>
      <c r="H105" s="32">
        <f t="shared" si="42"/>
        <v>1319962</v>
      </c>
      <c r="I105" s="34">
        <f t="shared" si="43"/>
        <v>0.20553829537824495</v>
      </c>
      <c r="J105" s="56">
        <f t="shared" si="44"/>
        <v>0.46333180005307234</v>
      </c>
      <c r="K105" s="56"/>
      <c r="L105" s="32">
        <v>11731758</v>
      </c>
      <c r="M105" s="32">
        <v>5222638</v>
      </c>
      <c r="N105" s="34">
        <f t="shared" si="45"/>
        <v>0.44517096244228699</v>
      </c>
      <c r="O105" s="32">
        <v>155789</v>
      </c>
      <c r="P105" s="34">
        <f t="shared" si="46"/>
        <v>9.2830157559035623E-3</v>
      </c>
    </row>
    <row r="106" spans="1:16">
      <c r="A106" s="55" t="s">
        <v>24</v>
      </c>
      <c r="B106" s="55"/>
      <c r="C106" s="55"/>
      <c r="D106" s="32">
        <v>7575763</v>
      </c>
      <c r="E106" s="32">
        <v>1445892</v>
      </c>
      <c r="F106" s="32">
        <f t="shared" si="41"/>
        <v>331249</v>
      </c>
      <c r="G106" s="40">
        <v>1242364</v>
      </c>
      <c r="H106" s="32">
        <f t="shared" si="42"/>
        <v>203528</v>
      </c>
      <c r="I106" s="34">
        <f t="shared" si="43"/>
        <v>0.16382316293775415</v>
      </c>
      <c r="J106" s="56">
        <f t="shared" si="44"/>
        <v>0.19085760734595314</v>
      </c>
      <c r="K106" s="56"/>
      <c r="L106" s="32">
        <v>4695033</v>
      </c>
      <c r="M106" s="32">
        <v>584565</v>
      </c>
      <c r="N106" s="34">
        <f t="shared" si="45"/>
        <v>0.12450711209058594</v>
      </c>
      <c r="O106" s="32">
        <v>13778</v>
      </c>
      <c r="P106" s="34">
        <f>O106/D92</f>
        <v>1.843411689702623E-3</v>
      </c>
    </row>
    <row r="107" spans="1:16">
      <c r="A107" s="55" t="s">
        <v>25</v>
      </c>
      <c r="B107" s="55"/>
      <c r="C107" s="55"/>
      <c r="D107" s="32">
        <v>10833669</v>
      </c>
      <c r="E107" s="32">
        <v>3272809</v>
      </c>
      <c r="F107" s="32">
        <f t="shared" si="41"/>
        <v>89783</v>
      </c>
      <c r="G107" s="40">
        <v>3459367</v>
      </c>
      <c r="H107" s="32">
        <f t="shared" si="42"/>
        <v>-186558</v>
      </c>
      <c r="I107" s="34">
        <f t="shared" si="43"/>
        <v>-5.3928363194769451E-2</v>
      </c>
      <c r="J107" s="56">
        <f t="shared" si="44"/>
        <v>0.30209608582281772</v>
      </c>
      <c r="K107" s="56"/>
      <c r="L107" s="32">
        <v>6609335</v>
      </c>
      <c r="M107" s="32">
        <v>1940947</v>
      </c>
      <c r="N107" s="34">
        <f t="shared" si="45"/>
        <v>0.29366751723130996</v>
      </c>
      <c r="O107" s="32">
        <v>334198</v>
      </c>
      <c r="P107" s="34">
        <f t="shared" si="46"/>
        <v>3.0304967550730068E-2</v>
      </c>
    </row>
    <row r="108" spans="1:16">
      <c r="A108" s="55" t="s">
        <v>26</v>
      </c>
      <c r="B108" s="55"/>
      <c r="C108" s="55"/>
      <c r="D108" s="32">
        <v>21617680</v>
      </c>
      <c r="E108" s="32">
        <v>10600891</v>
      </c>
      <c r="F108" s="32">
        <f t="shared" si="41"/>
        <v>588297</v>
      </c>
      <c r="G108" s="40">
        <v>10825223</v>
      </c>
      <c r="H108" s="32">
        <f t="shared" si="42"/>
        <v>-224332</v>
      </c>
      <c r="I108" s="34">
        <f t="shared" si="43"/>
        <v>-2.0723083487517995E-2</v>
      </c>
      <c r="J108" s="56">
        <f t="shared" si="44"/>
        <v>0.49038060513431597</v>
      </c>
      <c r="K108" s="56"/>
      <c r="L108" s="32">
        <v>14742261</v>
      </c>
      <c r="M108" s="32">
        <v>7227357</v>
      </c>
      <c r="N108" s="34">
        <f t="shared" si="45"/>
        <v>0.49024752716018255</v>
      </c>
      <c r="O108" s="32">
        <v>418309</v>
      </c>
      <c r="P108" s="34">
        <f t="shared" si="46"/>
        <v>1.9712864716672898E-2</v>
      </c>
    </row>
    <row r="109" spans="1:16">
      <c r="A109" s="55" t="s">
        <v>27</v>
      </c>
      <c r="B109" s="55"/>
      <c r="C109" s="55"/>
      <c r="D109" s="32">
        <v>2764853</v>
      </c>
      <c r="E109" s="32">
        <v>970039</v>
      </c>
      <c r="F109" s="32">
        <f t="shared" si="41"/>
        <v>-175108</v>
      </c>
      <c r="G109" s="40">
        <v>1142236</v>
      </c>
      <c r="H109" s="32">
        <f t="shared" si="42"/>
        <v>-172197</v>
      </c>
      <c r="I109" s="34">
        <f t="shared" si="43"/>
        <v>-0.15075430996746733</v>
      </c>
      <c r="J109" s="56">
        <f t="shared" si="44"/>
        <v>0.3508465007000372</v>
      </c>
      <c r="K109" s="56"/>
      <c r="L109" s="32">
        <v>1572993</v>
      </c>
      <c r="M109" s="32">
        <v>582139</v>
      </c>
      <c r="N109" s="34">
        <f t="shared" si="45"/>
        <v>0.37008365580774993</v>
      </c>
      <c r="O109" s="32">
        <v>86224</v>
      </c>
      <c r="P109" s="34">
        <f t="shared" si="46"/>
        <v>3.0377805994106513E-2</v>
      </c>
    </row>
    <row r="110" spans="1:16">
      <c r="A110" s="55" t="s">
        <v>28</v>
      </c>
      <c r="B110" s="55"/>
      <c r="C110" s="55"/>
      <c r="D110" s="32">
        <v>14814740</v>
      </c>
      <c r="E110" s="32">
        <v>9134994</v>
      </c>
      <c r="F110" s="32">
        <f t="shared" si="41"/>
        <v>1263830</v>
      </c>
      <c r="G110" s="40">
        <v>7440222</v>
      </c>
      <c r="H110" s="32">
        <f t="shared" si="42"/>
        <v>1694772</v>
      </c>
      <c r="I110" s="34">
        <f t="shared" si="43"/>
        <v>0.22778513866924938</v>
      </c>
      <c r="J110" s="56">
        <f t="shared" si="44"/>
        <v>0.61661520890680499</v>
      </c>
      <c r="K110" s="56"/>
      <c r="L110" s="32">
        <v>10427986</v>
      </c>
      <c r="M110" s="32">
        <v>4069994</v>
      </c>
      <c r="N110" s="34">
        <f t="shared" si="45"/>
        <v>0.39029530726259126</v>
      </c>
      <c r="O110" s="32">
        <v>323467</v>
      </c>
      <c r="P110" s="34">
        <f t="shared" si="46"/>
        <v>2.1815913982439736E-2</v>
      </c>
    </row>
    <row r="111" spans="1:16">
      <c r="A111" s="55" t="s">
        <v>29</v>
      </c>
      <c r="B111" s="55"/>
      <c r="C111" s="55"/>
      <c r="D111" s="32">
        <v>2643076</v>
      </c>
      <c r="E111" s="32">
        <v>291145</v>
      </c>
      <c r="F111" s="32">
        <f t="shared" si="41"/>
        <v>-32964</v>
      </c>
      <c r="G111" s="40">
        <v>297214</v>
      </c>
      <c r="H111" s="32">
        <f t="shared" si="42"/>
        <v>-6069</v>
      </c>
      <c r="I111" s="34">
        <f t="shared" si="43"/>
        <v>-2.0419630300053161E-2</v>
      </c>
      <c r="J111" s="56">
        <f t="shared" si="44"/>
        <v>0.11015385104325415</v>
      </c>
      <c r="K111" s="56"/>
      <c r="L111" s="32">
        <v>1907731</v>
      </c>
      <c r="M111" s="32">
        <v>106750</v>
      </c>
      <c r="N111" s="34">
        <f t="shared" si="45"/>
        <v>5.5956526365614441E-2</v>
      </c>
      <c r="O111" s="32">
        <v>35936</v>
      </c>
      <c r="P111" s="34">
        <f t="shared" si="46"/>
        <v>1.342380154768184E-2</v>
      </c>
    </row>
    <row r="112" spans="1:16">
      <c r="A112" s="57" t="s">
        <v>30</v>
      </c>
      <c r="B112" s="57"/>
      <c r="C112" s="57"/>
      <c r="D112" s="35">
        <f>SUM(D101:D111)</f>
        <v>121517432</v>
      </c>
      <c r="E112" s="35">
        <f>SUM(E101:E111)</f>
        <v>58768663</v>
      </c>
      <c r="F112" s="35">
        <f>E112-C14</f>
        <v>9599698</v>
      </c>
      <c r="G112" s="36">
        <f>SUM(G101:G111)</f>
        <v>48361226</v>
      </c>
      <c r="H112" s="35">
        <f t="shared" si="42"/>
        <v>10407437</v>
      </c>
      <c r="I112" s="37">
        <f>H112/G112</f>
        <v>0.21520209185763819</v>
      </c>
      <c r="J112" s="58">
        <f>E112/D112</f>
        <v>0.48362331257954827</v>
      </c>
      <c r="K112" s="58"/>
      <c r="L112" s="38">
        <f>SUM(L101:L111)</f>
        <v>81982733</v>
      </c>
      <c r="M112" s="39">
        <f>SUM(M101:M111)</f>
        <v>35779473</v>
      </c>
      <c r="N112" s="37">
        <f t="shared" si="45"/>
        <v>0.43642693638915403</v>
      </c>
      <c r="O112" s="35">
        <f>SUM(O101:O111)</f>
        <v>3771222</v>
      </c>
      <c r="P112" s="37">
        <f>O112/D98</f>
        <v>3.0664097192066656E-2</v>
      </c>
    </row>
  </sheetData>
  <mergeCells count="190">
    <mergeCell ref="A109:C109"/>
    <mergeCell ref="J109:K109"/>
    <mergeCell ref="A110:C110"/>
    <mergeCell ref="J110:K110"/>
    <mergeCell ref="A111:C111"/>
    <mergeCell ref="J111:K111"/>
    <mergeCell ref="A112:C112"/>
    <mergeCell ref="J112:K112"/>
    <mergeCell ref="A104:C104"/>
    <mergeCell ref="J104:K104"/>
    <mergeCell ref="A105:C105"/>
    <mergeCell ref="J105:K105"/>
    <mergeCell ref="A106:C106"/>
    <mergeCell ref="J106:K106"/>
    <mergeCell ref="A107:C107"/>
    <mergeCell ref="J107:K107"/>
    <mergeCell ref="A108:C108"/>
    <mergeCell ref="J108:K108"/>
    <mergeCell ref="A99:P99"/>
    <mergeCell ref="A100:C100"/>
    <mergeCell ref="J100:K100"/>
    <mergeCell ref="A101:C101"/>
    <mergeCell ref="J101:K101"/>
    <mergeCell ref="A102:C102"/>
    <mergeCell ref="J102:K102"/>
    <mergeCell ref="A103:C103"/>
    <mergeCell ref="J103:K103"/>
    <mergeCell ref="A82:C82"/>
    <mergeCell ref="J82:K82"/>
    <mergeCell ref="A83:C83"/>
    <mergeCell ref="J83:K83"/>
    <mergeCell ref="A84:C84"/>
    <mergeCell ref="J84:K84"/>
    <mergeCell ref="A77:C77"/>
    <mergeCell ref="J77:K77"/>
    <mergeCell ref="A78:C78"/>
    <mergeCell ref="J78:K78"/>
    <mergeCell ref="A79:C79"/>
    <mergeCell ref="J79:K79"/>
    <mergeCell ref="A80:C80"/>
    <mergeCell ref="J80:K80"/>
    <mergeCell ref="A81:C81"/>
    <mergeCell ref="J81:K81"/>
    <mergeCell ref="A72:C72"/>
    <mergeCell ref="J72:K72"/>
    <mergeCell ref="A73:C73"/>
    <mergeCell ref="J73:K73"/>
    <mergeCell ref="A74:C74"/>
    <mergeCell ref="J74:K74"/>
    <mergeCell ref="A75:C75"/>
    <mergeCell ref="J75:K75"/>
    <mergeCell ref="A76:C76"/>
    <mergeCell ref="J76:K76"/>
    <mergeCell ref="A42:C42"/>
    <mergeCell ref="J42:K42"/>
    <mergeCell ref="A38:C38"/>
    <mergeCell ref="J38:K38"/>
    <mergeCell ref="A39:C39"/>
    <mergeCell ref="J39:K39"/>
    <mergeCell ref="A40:C40"/>
    <mergeCell ref="J40:K40"/>
    <mergeCell ref="A71:P71"/>
    <mergeCell ref="A46:C46"/>
    <mergeCell ref="J46:K46"/>
    <mergeCell ref="A47:C47"/>
    <mergeCell ref="J47:K47"/>
    <mergeCell ref="A48:C48"/>
    <mergeCell ref="J48:K48"/>
    <mergeCell ref="A43:P43"/>
    <mergeCell ref="A44:C44"/>
    <mergeCell ref="J44:K44"/>
    <mergeCell ref="A45:C45"/>
    <mergeCell ref="J45:K45"/>
    <mergeCell ref="A52:C52"/>
    <mergeCell ref="J52:K52"/>
    <mergeCell ref="A53:C53"/>
    <mergeCell ref="J53:K53"/>
    <mergeCell ref="A34:C34"/>
    <mergeCell ref="J34:K34"/>
    <mergeCell ref="A35:C35"/>
    <mergeCell ref="J35:K35"/>
    <mergeCell ref="A36:C36"/>
    <mergeCell ref="J36:K36"/>
    <mergeCell ref="A37:C37"/>
    <mergeCell ref="J37:K37"/>
    <mergeCell ref="A41:C41"/>
    <mergeCell ref="J41:K41"/>
    <mergeCell ref="A29:P29"/>
    <mergeCell ref="A30:C30"/>
    <mergeCell ref="J30:K30"/>
    <mergeCell ref="A31:C31"/>
    <mergeCell ref="J31:K31"/>
    <mergeCell ref="A32:C32"/>
    <mergeCell ref="J32:K32"/>
    <mergeCell ref="A33:C33"/>
    <mergeCell ref="J33:K33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A1:P1"/>
    <mergeCell ref="A15:P15"/>
    <mergeCell ref="A16:C16"/>
    <mergeCell ref="A17:C17"/>
    <mergeCell ref="A18:C18"/>
    <mergeCell ref="J16:K16"/>
    <mergeCell ref="J17:K17"/>
    <mergeCell ref="J18:K18"/>
    <mergeCell ref="J19:K19"/>
    <mergeCell ref="A24:C24"/>
    <mergeCell ref="A25:C25"/>
    <mergeCell ref="A26:C26"/>
    <mergeCell ref="A27:C27"/>
    <mergeCell ref="A28:C28"/>
    <mergeCell ref="A19:C19"/>
    <mergeCell ref="A20:C20"/>
    <mergeCell ref="A21:C21"/>
    <mergeCell ref="A22:C22"/>
    <mergeCell ref="A23:C23"/>
    <mergeCell ref="A54:C54"/>
    <mergeCell ref="J54:K54"/>
    <mergeCell ref="A49:C49"/>
    <mergeCell ref="J49:K49"/>
    <mergeCell ref="A50:C50"/>
    <mergeCell ref="J50:K50"/>
    <mergeCell ref="A51:C51"/>
    <mergeCell ref="J51:K51"/>
    <mergeCell ref="A57:P57"/>
    <mergeCell ref="A58:C58"/>
    <mergeCell ref="J58:K58"/>
    <mergeCell ref="A59:C59"/>
    <mergeCell ref="J59:K59"/>
    <mergeCell ref="A55:C55"/>
    <mergeCell ref="J55:K55"/>
    <mergeCell ref="A56:C56"/>
    <mergeCell ref="J56:K56"/>
    <mergeCell ref="A63:C63"/>
    <mergeCell ref="J63:K63"/>
    <mergeCell ref="A64:C64"/>
    <mergeCell ref="J64:K64"/>
    <mergeCell ref="A65:C65"/>
    <mergeCell ref="J65:K65"/>
    <mergeCell ref="A60:C60"/>
    <mergeCell ref="J60:K60"/>
    <mergeCell ref="A61:C61"/>
    <mergeCell ref="J61:K61"/>
    <mergeCell ref="A62:C62"/>
    <mergeCell ref="J62:K62"/>
    <mergeCell ref="A69:C69"/>
    <mergeCell ref="J69:K69"/>
    <mergeCell ref="A70:C70"/>
    <mergeCell ref="J70:K70"/>
    <mergeCell ref="A66:C66"/>
    <mergeCell ref="J66:K66"/>
    <mergeCell ref="A67:C67"/>
    <mergeCell ref="J67:K67"/>
    <mergeCell ref="A68:C68"/>
    <mergeCell ref="J68:K68"/>
    <mergeCell ref="A85:P85"/>
    <mergeCell ref="A86:C86"/>
    <mergeCell ref="J86:K86"/>
    <mergeCell ref="A87:C87"/>
    <mergeCell ref="J87:K87"/>
    <mergeCell ref="A88:C88"/>
    <mergeCell ref="J88:K88"/>
    <mergeCell ref="A89:C89"/>
    <mergeCell ref="J89:K89"/>
    <mergeCell ref="A95:C95"/>
    <mergeCell ref="J95:K95"/>
    <mergeCell ref="A96:C96"/>
    <mergeCell ref="J96:K96"/>
    <mergeCell ref="A97:C97"/>
    <mergeCell ref="J97:K97"/>
    <mergeCell ref="A98:C98"/>
    <mergeCell ref="J98:K98"/>
    <mergeCell ref="A90:C90"/>
    <mergeCell ref="J90:K90"/>
    <mergeCell ref="A91:C91"/>
    <mergeCell ref="J91:K91"/>
    <mergeCell ref="A92:C92"/>
    <mergeCell ref="J92:K92"/>
    <mergeCell ref="A93:C93"/>
    <mergeCell ref="J93:K93"/>
    <mergeCell ref="A94:C94"/>
    <mergeCell ref="J94:K94"/>
  </mergeCells>
  <phoneticPr fontId="14" type="noConversion"/>
  <pageMargins left="0.7" right="0.7" top="0.75" bottom="0.75" header="0.3" footer="0.3"/>
  <pageSetup paperSize="9" orientation="portrait" r:id="rId1"/>
  <ignoredErrors>
    <ignoredError sqref="F98 N9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2024年</vt:lpstr>
      <vt:lpstr>2025年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Bai</dc:creator>
  <cp:lastModifiedBy>Chongyang Bai</cp:lastModifiedBy>
  <dcterms:created xsi:type="dcterms:W3CDTF">2015-06-05T18:19:00Z</dcterms:created>
  <dcterms:modified xsi:type="dcterms:W3CDTF">2025-09-11T01:54:21Z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87861A1454694F26908627F0F711B975</vt:lpwstr>
  </property>
  <property fmtid="{D5CDD505-2E9C-101B-9397-08002B2CF9AE}" pid="3" name="KSOProductBuildVer">
    <vt:lpwstr>2052-11.8.2.12309</vt:lpwstr>
  </property>
</Properties>
</file>
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1.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Administrator\Desktop\5G专网附件\"/>
    </mc:Choice>
  </mc:AlternateContent>
  <bookViews>
    <workbookView xWindow="0" yWindow="0" windowWidth="18530" windowHeight="7060" tabRatio="673"/>
  </bookViews>
  <sheets>
    <sheet name="BAF总览" sheetId="9" r:id="rId1"/>
    <sheet name="协议期套餐" sheetId="27" r:id="rId2"/>
    <sheet name="5G公共网络（B1）资费" sheetId="3" r:id="rId3"/>
    <sheet name="5G公网专用（B2）" sheetId="10" r:id="rId4"/>
    <sheet name="5G专网专用（B3）" sheetId="12" r:id="rId5"/>
    <sheet name="业务加速（A1)" sheetId="7" r:id="rId6"/>
    <sheet name="业务隔离（A2）" sheetId="8" r:id="rId7"/>
    <sheet name="边缘计算(A3、A4、A5）" sheetId="20" r:id="rId8"/>
    <sheet name="网络运维服务（A10）" sheetId="17" r:id="rId9"/>
    <sheet name="服务能力（A8、A9、A11）" sheetId="13" r:id="rId10"/>
    <sheet name="网络数字孪生（A13）" sheetId="22" r:id="rId11"/>
    <sheet name="双域专网" sheetId="26" r:id="rId12"/>
    <sheet name="入驻专网" sheetId="28" r:id="rId13"/>
    <sheet name="流量（非入驻）专网" sheetId="24" r:id="rId14"/>
    <sheet name="5G快线" sheetId="25" r:id="rId15"/>
  </sheets>
  <definedNames>
    <definedName name="MIMO上行系数">2</definedName>
    <definedName name="MIMO下行系数">4</definedName>
    <definedName name="RB内子载波数">12</definedName>
    <definedName name="单RB上行理论速率_Mbps" localSheetId="12">入驻专网!#REF!</definedName>
    <definedName name="单RB上行理论速率_Mbps" localSheetId="11">双域专网!#REF!</definedName>
    <definedName name="单RB上行理论速率_Mbps" localSheetId="1">协议期套餐!#REF!</definedName>
    <definedName name="单RB上行理论速率_Mbps">'5G公网专用（B2）'!#REF!</definedName>
    <definedName name="单RB下行理论速率_Mbps" localSheetId="12">入驻专网!#REF!</definedName>
    <definedName name="单RB下行理论速率_Mbps" localSheetId="11">双域专网!#REF!</definedName>
    <definedName name="单RB下行理论速率_Mbps" localSheetId="1">协议期套餐!#REF!</definedName>
    <definedName name="单RB下行理论速率_Mbps">'5G公网专用（B2）'!#REF!</definedName>
    <definedName name="单时隙符号数">14</definedName>
    <definedName name="单位特殊时隙间隔符号数" localSheetId="12">入驻专网!#REF!</definedName>
    <definedName name="单位特殊时隙间隔符号数" localSheetId="11">双域专网!#REF!</definedName>
    <definedName name="单位特殊时隙间隔符号数" localSheetId="1">协议期套餐!#REF!</definedName>
    <definedName name="单位特殊时隙间隔符号数">'5G公网专用（B2）'!#REF!</definedName>
    <definedName name="单位特殊时隙上行符号数" localSheetId="12">入驻专网!#REF!</definedName>
    <definedName name="单位特殊时隙上行符号数" localSheetId="11">双域专网!#REF!</definedName>
    <definedName name="单位特殊时隙上行符号数" localSheetId="1">协议期套餐!#REF!</definedName>
    <definedName name="单位特殊时隙上行符号数">'5G公网专用（B2）'!#REF!</definedName>
    <definedName name="单位特殊时隙下行符号数" localSheetId="12">入驻专网!#REF!</definedName>
    <definedName name="单位特殊时隙下行符号数" localSheetId="11">双域专网!#REF!</definedName>
    <definedName name="单位特殊时隙下行符号数" localSheetId="1">协议期套餐!#REF!</definedName>
    <definedName name="单位特殊时隙下行符号数">'5G公网专用（B2）'!#REF!</definedName>
    <definedName name="上行RB预留建议数值" localSheetId="12">入驻专网!#REF!</definedName>
    <definedName name="上行RB预留建议数值" localSheetId="11">双域专网!#REF!</definedName>
    <definedName name="上行RB预留建议数值" localSheetId="1">协议期套餐!#REF!</definedName>
    <definedName name="上行RB预留建议数值">'5G公网专用（B2）'!#REF!</definedName>
    <definedName name="上行调整系数">6</definedName>
    <definedName name="上行时隙数" localSheetId="12">入驻专网!#REF!</definedName>
    <definedName name="上行时隙数" localSheetId="11">双域专网!#REF!</definedName>
    <definedName name="上行时隙数" localSheetId="1">协议期套餐!#REF!</definedName>
    <definedName name="上行时隙数">'5G公网专用（B2）'!#REF!</definedName>
    <definedName name="上行预留带宽_Mbps" localSheetId="12">入驻专网!#REF!</definedName>
    <definedName name="上行预留带宽_Mbps" localSheetId="11">双域专网!#REF!</definedName>
    <definedName name="上行预留带宽_Mbps" localSheetId="1">协议期套餐!#REF!</definedName>
    <definedName name="上行预留带宽_Mbps">'5G公网专用（B2）'!#REF!</definedName>
    <definedName name="特殊时隙数" localSheetId="12">入驻专网!#REF!</definedName>
    <definedName name="特殊时隙数" localSheetId="11">双域专网!#REF!</definedName>
    <definedName name="特殊时隙数" localSheetId="1">协议期套餐!#REF!</definedName>
    <definedName name="特殊时隙数">'5G公网专用（B2）'!#REF!</definedName>
    <definedName name="无线PRB总数">273</definedName>
    <definedName name="下行RB预留建议数值" localSheetId="12">入驻专网!#REF!</definedName>
    <definedName name="下行RB预留建议数值" localSheetId="11">双域专网!#REF!</definedName>
    <definedName name="下行RB预留建议数值" localSheetId="1">协议期套餐!#REF!</definedName>
    <definedName name="下行RB预留建议数值">'5G公网专用（B2）'!#REF!</definedName>
    <definedName name="下行调制系数">8</definedName>
    <definedName name="下行时隙数" localSheetId="12">入驻专网!#REF!</definedName>
    <definedName name="下行时隙数" localSheetId="11">双域专网!#REF!</definedName>
    <definedName name="下行时隙数" localSheetId="1">协议期套餐!#REF!</definedName>
    <definedName name="下行时隙数">'5G公网专用（B2）'!#REF!</definedName>
    <definedName name="下行预留带宽_Mbps" localSheetId="12">入驻专网!#REF!</definedName>
    <definedName name="下行预留带宽_Mbps" localSheetId="11">双域专网!#REF!</definedName>
    <definedName name="下行预留带宽_Mbps" localSheetId="1">协议期套餐!#REF!</definedName>
    <definedName name="下行预留带宽_Mbps">'5G公网专用（B2）'!#REF!</definedName>
  </definedNames>
  <calcPr calcId="162913"/>
</workbook>
</file>

<file path=xl/calcChain.xml><?xml version="1.0" encoding="utf-8"?>
<calcChain xmlns="http://schemas.openxmlformats.org/spreadsheetml/2006/main">
  <c r="C38" i="24" l="1"/>
  <c r="C39" i="24" s="1"/>
  <c r="C33" i="24"/>
  <c r="C34" i="24" s="1"/>
  <c r="C35" i="24" s="1"/>
  <c r="C36" i="24" s="1"/>
  <c r="C37" i="24" s="1"/>
  <c r="B33" i="24"/>
  <c r="C31" i="24"/>
  <c r="C32" i="24" s="1"/>
  <c r="B31" i="24"/>
  <c r="C29" i="24"/>
  <c r="C30" i="24" s="1"/>
  <c r="C26" i="24"/>
  <c r="C27" i="24" s="1"/>
  <c r="C28" i="24" s="1"/>
  <c r="C24" i="24"/>
  <c r="C25" i="24" s="1"/>
  <c r="C17" i="24"/>
  <c r="C18" i="24" s="1"/>
  <c r="C19" i="24" s="1"/>
  <c r="C20" i="24" s="1"/>
  <c r="C21" i="24" s="1"/>
  <c r="C22" i="24" s="1"/>
  <c r="C23" i="24" s="1"/>
  <c r="C9" i="24"/>
  <c r="E9" i="24" s="1"/>
  <c r="C8" i="24"/>
  <c r="C10" i="24" s="1"/>
  <c r="E8" i="24" l="1"/>
  <c r="E10" i="24" s="1"/>
</calcChain>
</file>

<file path=xl/comments1.xml><?xml version="1.0" encoding="utf-8"?>
<comments xmlns="http://schemas.openxmlformats.org/spreadsheetml/2006/main">
  <authors>
    <author>Jiadi Fu</author>
  </authors>
  <commentList>
    <comment ref="G3" authorId="0" shapeId="0">
      <text>
        <r>
          <rPr>
            <b/>
            <sz val="9"/>
            <rFont val="Tahoma"/>
            <family val="2"/>
          </rPr>
          <t>Jiadi Fu:</t>
        </r>
        <r>
          <rPr>
            <sz val="9"/>
            <rFont val="Tahoma"/>
            <family val="2"/>
          </rPr>
          <t xml:space="preserve">
</t>
        </r>
        <r>
          <rPr>
            <sz val="9"/>
            <rFont val="宋体"/>
            <charset val="134"/>
          </rPr>
          <t>如有轻量级网管下沉服务，收费方式为
维护团队总价+运维工具总价（软件开发，licence等，按调用次数等）</t>
        </r>
      </text>
    </comment>
    <comment ref="H3" authorId="0" shapeId="0">
      <text>
        <r>
          <rPr>
            <b/>
            <sz val="9"/>
            <rFont val="Tahoma"/>
            <family val="2"/>
          </rPr>
          <t>Jiadi Fu:</t>
        </r>
        <r>
          <rPr>
            <sz val="9"/>
            <rFont val="Tahoma"/>
            <family val="2"/>
          </rPr>
          <t xml:space="preserve">
</t>
        </r>
        <r>
          <rPr>
            <sz val="9"/>
            <rFont val="宋体"/>
            <charset val="134"/>
          </rPr>
          <t>如有轻量级网管下沉服务，收费方式为
维护团队总价+运维工具总价（软件开发，licence等，按调用次数等）</t>
        </r>
      </text>
    </comment>
    <comment ref="M3" authorId="0" shapeId="0">
      <text>
        <r>
          <rPr>
            <b/>
            <sz val="9"/>
            <rFont val="Tahoma"/>
            <family val="2"/>
          </rPr>
          <t>Jiadi Fu:</t>
        </r>
        <r>
          <rPr>
            <sz val="9"/>
            <rFont val="Tahoma"/>
            <family val="2"/>
          </rPr>
          <t xml:space="preserve">
</t>
        </r>
        <r>
          <rPr>
            <sz val="9"/>
            <rFont val="宋体"/>
            <charset val="134"/>
          </rPr>
          <t>如有轻量级网管下沉服务，收费方式为
维护团队总价+运维工具总价（软件开发，licence等，按调用次数等）</t>
        </r>
      </text>
    </comment>
    <comment ref="N3" authorId="0" shapeId="0">
      <text>
        <r>
          <rPr>
            <b/>
            <sz val="9"/>
            <rFont val="Tahoma"/>
            <family val="2"/>
          </rPr>
          <t>Jiadi Fu:</t>
        </r>
        <r>
          <rPr>
            <sz val="9"/>
            <rFont val="Tahoma"/>
            <family val="2"/>
          </rPr>
          <t xml:space="preserve">
</t>
        </r>
        <r>
          <rPr>
            <sz val="9"/>
            <rFont val="宋体"/>
            <charset val="134"/>
          </rPr>
          <t>包括园区驻点、类驻点、无驻点</t>
        </r>
      </text>
    </comment>
    <comment ref="Q7" authorId="0" shapeId="0">
      <text>
        <r>
          <rPr>
            <b/>
            <sz val="9"/>
            <rFont val="Tahoma"/>
            <family val="2"/>
          </rPr>
          <t>Jiadi Fu:</t>
        </r>
        <r>
          <rPr>
            <sz val="9"/>
            <rFont val="Tahoma"/>
            <family val="2"/>
          </rPr>
          <t xml:space="preserve">
</t>
        </r>
        <r>
          <rPr>
            <sz val="9"/>
            <rFont val="宋体"/>
            <charset val="134"/>
          </rPr>
          <t>对于内含</t>
        </r>
        <r>
          <rPr>
            <sz val="9"/>
            <rFont val="Tahoma"/>
            <family val="2"/>
          </rPr>
          <t>200</t>
        </r>
        <r>
          <rPr>
            <sz val="9"/>
            <rFont val="宋体"/>
            <charset val="134"/>
          </rPr>
          <t>个连接，固定报价为</t>
        </r>
        <r>
          <rPr>
            <sz val="9"/>
            <rFont val="Tahoma"/>
            <family val="2"/>
          </rPr>
          <t>A</t>
        </r>
        <r>
          <rPr>
            <sz val="9"/>
            <rFont val="宋体"/>
            <charset val="134"/>
          </rPr>
          <t>万元</t>
        </r>
        <r>
          <rPr>
            <sz val="9"/>
            <rFont val="Tahoma"/>
            <family val="2"/>
          </rPr>
          <t>/</t>
        </r>
        <r>
          <rPr>
            <sz val="9"/>
            <rFont val="宋体"/>
            <charset val="134"/>
          </rPr>
          <t>年；对于超出</t>
        </r>
        <r>
          <rPr>
            <sz val="9"/>
            <rFont val="Tahoma"/>
            <family val="2"/>
          </rPr>
          <t>200</t>
        </r>
        <r>
          <rPr>
            <sz val="9"/>
            <rFont val="宋体"/>
            <charset val="134"/>
          </rPr>
          <t>连接的网络，核心连接按</t>
        </r>
        <r>
          <rPr>
            <sz val="9"/>
            <rFont val="Tahoma"/>
            <family val="2"/>
          </rPr>
          <t>0.2</t>
        </r>
        <r>
          <rPr>
            <sz val="9"/>
            <rFont val="宋体"/>
            <charset val="134"/>
          </rPr>
          <t>万</t>
        </r>
        <r>
          <rPr>
            <sz val="9"/>
            <rFont val="Tahoma"/>
            <family val="2"/>
          </rPr>
          <t>/</t>
        </r>
        <r>
          <rPr>
            <sz val="9"/>
            <rFont val="宋体"/>
            <charset val="134"/>
          </rPr>
          <t>连接</t>
        </r>
        <r>
          <rPr>
            <sz val="9"/>
            <rFont val="Tahoma"/>
            <family val="2"/>
          </rPr>
          <t>/</t>
        </r>
        <r>
          <rPr>
            <sz val="9"/>
            <rFont val="宋体"/>
            <charset val="134"/>
          </rPr>
          <t>年计算，非核心连接按</t>
        </r>
        <r>
          <rPr>
            <sz val="9"/>
            <rFont val="Tahoma"/>
            <family val="2"/>
          </rPr>
          <t>0.05</t>
        </r>
        <r>
          <rPr>
            <sz val="9"/>
            <rFont val="宋体"/>
            <charset val="134"/>
          </rPr>
          <t>万</t>
        </r>
        <r>
          <rPr>
            <sz val="9"/>
            <rFont val="Tahoma"/>
            <family val="2"/>
          </rPr>
          <t>/</t>
        </r>
        <r>
          <rPr>
            <sz val="9"/>
            <rFont val="宋体"/>
            <charset val="134"/>
          </rPr>
          <t>连接</t>
        </r>
        <r>
          <rPr>
            <sz val="9"/>
            <rFont val="Tahoma"/>
            <family val="2"/>
          </rPr>
          <t>/</t>
        </r>
        <r>
          <rPr>
            <sz val="9"/>
            <rFont val="宋体"/>
            <charset val="134"/>
          </rPr>
          <t>年计算。</t>
        </r>
      </text>
    </comment>
    <comment ref="Q10" authorId="0" shapeId="0">
      <text>
        <r>
          <rPr>
            <b/>
            <sz val="9"/>
            <rFont val="Tahoma"/>
            <family val="2"/>
          </rPr>
          <t>Jiadi Fu:</t>
        </r>
        <r>
          <rPr>
            <sz val="9"/>
            <rFont val="Tahoma"/>
            <family val="2"/>
          </rPr>
          <t xml:space="preserve">
</t>
        </r>
        <r>
          <rPr>
            <sz val="9"/>
            <rFont val="宋体"/>
            <charset val="134"/>
          </rPr>
          <t>参见</t>
        </r>
        <r>
          <rPr>
            <sz val="9"/>
            <rFont val="Tahoma"/>
            <family val="2"/>
          </rPr>
          <t>A10</t>
        </r>
        <r>
          <rPr>
            <sz val="9"/>
            <rFont val="宋体"/>
            <charset val="134"/>
          </rPr>
          <t>模式二</t>
        </r>
      </text>
    </comment>
    <comment ref="Q13" authorId="0" shapeId="0">
      <text>
        <r>
          <rPr>
            <b/>
            <sz val="9"/>
            <rFont val="Tahoma"/>
            <family val="2"/>
          </rPr>
          <t>Jiadi Fu:</t>
        </r>
        <r>
          <rPr>
            <sz val="9"/>
            <rFont val="Tahoma"/>
            <family val="2"/>
          </rPr>
          <t xml:space="preserve">
</t>
        </r>
        <r>
          <rPr>
            <sz val="9"/>
            <rFont val="宋体"/>
            <charset val="134"/>
          </rPr>
          <t>参见</t>
        </r>
        <r>
          <rPr>
            <sz val="9"/>
            <rFont val="Tahoma"/>
            <family val="2"/>
          </rPr>
          <t>A10</t>
        </r>
        <r>
          <rPr>
            <sz val="9"/>
            <rFont val="宋体"/>
            <charset val="134"/>
          </rPr>
          <t>模式二</t>
        </r>
      </text>
    </comment>
    <comment ref="Q19" authorId="0" shapeId="0">
      <text>
        <r>
          <rPr>
            <b/>
            <sz val="9"/>
            <rFont val="Tahoma"/>
            <family val="2"/>
          </rPr>
          <t>Jiadi Fu:</t>
        </r>
        <r>
          <rPr>
            <sz val="9"/>
            <rFont val="Tahoma"/>
            <family val="2"/>
          </rPr>
          <t xml:space="preserve">
</t>
        </r>
        <r>
          <rPr>
            <sz val="9"/>
            <rFont val="宋体"/>
            <charset val="134"/>
          </rPr>
          <t>对于内含</t>
        </r>
        <r>
          <rPr>
            <sz val="9"/>
            <rFont val="Tahoma"/>
            <family val="2"/>
          </rPr>
          <t>200</t>
        </r>
        <r>
          <rPr>
            <sz val="9"/>
            <rFont val="宋体"/>
            <charset val="134"/>
          </rPr>
          <t>个连接，固定报价为</t>
        </r>
        <r>
          <rPr>
            <sz val="9"/>
            <rFont val="Tahoma"/>
            <family val="2"/>
          </rPr>
          <t>A</t>
        </r>
        <r>
          <rPr>
            <sz val="9"/>
            <rFont val="宋体"/>
            <charset val="134"/>
          </rPr>
          <t>万元</t>
        </r>
        <r>
          <rPr>
            <sz val="9"/>
            <rFont val="Tahoma"/>
            <family val="2"/>
          </rPr>
          <t>/</t>
        </r>
        <r>
          <rPr>
            <sz val="9"/>
            <rFont val="宋体"/>
            <charset val="134"/>
          </rPr>
          <t>年；对于超出</t>
        </r>
        <r>
          <rPr>
            <sz val="9"/>
            <rFont val="Tahoma"/>
            <family val="2"/>
          </rPr>
          <t>200</t>
        </r>
        <r>
          <rPr>
            <sz val="9"/>
            <rFont val="宋体"/>
            <charset val="134"/>
          </rPr>
          <t>连接的网络，核心连接按</t>
        </r>
        <r>
          <rPr>
            <sz val="9"/>
            <rFont val="Tahoma"/>
            <family val="2"/>
          </rPr>
          <t>0.2</t>
        </r>
        <r>
          <rPr>
            <sz val="9"/>
            <rFont val="宋体"/>
            <charset val="134"/>
          </rPr>
          <t>万</t>
        </r>
        <r>
          <rPr>
            <sz val="9"/>
            <rFont val="Tahoma"/>
            <family val="2"/>
          </rPr>
          <t>/</t>
        </r>
        <r>
          <rPr>
            <sz val="9"/>
            <rFont val="宋体"/>
            <charset val="134"/>
          </rPr>
          <t>连接</t>
        </r>
        <r>
          <rPr>
            <sz val="9"/>
            <rFont val="Tahoma"/>
            <family val="2"/>
          </rPr>
          <t>/</t>
        </r>
        <r>
          <rPr>
            <sz val="9"/>
            <rFont val="宋体"/>
            <charset val="134"/>
          </rPr>
          <t>年计算，非核心连接按</t>
        </r>
        <r>
          <rPr>
            <sz val="9"/>
            <rFont val="Tahoma"/>
            <family val="2"/>
          </rPr>
          <t>0.05</t>
        </r>
        <r>
          <rPr>
            <sz val="9"/>
            <rFont val="宋体"/>
            <charset val="134"/>
          </rPr>
          <t>万</t>
        </r>
        <r>
          <rPr>
            <sz val="9"/>
            <rFont val="Tahoma"/>
            <family val="2"/>
          </rPr>
          <t>/</t>
        </r>
        <r>
          <rPr>
            <sz val="9"/>
            <rFont val="宋体"/>
            <charset val="134"/>
          </rPr>
          <t>连接</t>
        </r>
        <r>
          <rPr>
            <sz val="9"/>
            <rFont val="Tahoma"/>
            <family val="2"/>
          </rPr>
          <t>/</t>
        </r>
        <r>
          <rPr>
            <sz val="9"/>
            <rFont val="宋体"/>
            <charset val="134"/>
          </rPr>
          <t>年计算。</t>
        </r>
      </text>
    </comment>
  </commentList>
</comments>
</file>

<file path=xl/sharedStrings.xml><?xml version="1.0" encoding="utf-8"?>
<sst xmlns="http://schemas.openxmlformats.org/spreadsheetml/2006/main" count="1130" uniqueCount="599">
  <si>
    <t>BAF资费总览</t>
  </si>
  <si>
    <t>BAF分类</t>
  </si>
  <si>
    <t>资费分类</t>
  </si>
  <si>
    <t>资费名称</t>
  </si>
  <si>
    <t>资费状态</t>
  </si>
  <si>
    <t>备注</t>
  </si>
  <si>
    <t>B-基本架构</t>
  </si>
  <si>
    <t>（B1）5G公共网络</t>
  </si>
  <si>
    <t>5G行业流量资费</t>
  </si>
  <si>
    <t>已上架</t>
  </si>
  <si>
    <t>（B2）5G公网专网</t>
  </si>
  <si>
    <t>5G专网流量资费</t>
  </si>
  <si>
    <t>新增协议期套餐</t>
  </si>
  <si>
    <r>
      <rPr>
        <b/>
        <u/>
        <sz val="12"/>
        <color theme="8"/>
        <rFont val="微软雅黑"/>
        <charset val="134"/>
      </rPr>
      <t>5</t>
    </r>
    <r>
      <rPr>
        <b/>
        <sz val="12"/>
        <color theme="8"/>
        <rFont val="微软雅黑"/>
        <charset val="134"/>
      </rPr>
      <t>G</t>
    </r>
    <r>
      <rPr>
        <b/>
        <u/>
        <sz val="12"/>
        <color theme="8"/>
        <rFont val="微软雅黑"/>
        <charset val="134"/>
      </rPr>
      <t>无线带宽保障资费</t>
    </r>
  </si>
  <si>
    <t>RB无线切片资费（新增测试期资费）</t>
  </si>
  <si>
    <t>预计6月上架</t>
  </si>
  <si>
    <t>双域流量</t>
  </si>
  <si>
    <t>（B3）5G专网专用</t>
  </si>
  <si>
    <t>基站专用资费</t>
  </si>
  <si>
    <t>A-增值功能</t>
  </si>
  <si>
    <t>（A1）业务加速</t>
  </si>
  <si>
    <t>业务加速资费</t>
  </si>
  <si>
    <t>（A2）业务隔离</t>
  </si>
  <si>
    <t>专用DNN资费</t>
  </si>
  <si>
    <t>ULCL公专分流费</t>
  </si>
  <si>
    <t>（A3）本地业务保障</t>
  </si>
  <si>
    <t>地市级UPF资费（新增测试期资费）</t>
  </si>
  <si>
    <t>（A4）数据不出场</t>
  </si>
  <si>
    <t>园区级独享UPF资费</t>
  </si>
  <si>
    <t>（A4）现场应急保障</t>
  </si>
  <si>
    <t>园区级独享UPF+资费</t>
  </si>
  <si>
    <t>（A5）边缘节点</t>
  </si>
  <si>
    <t>网络边缘云资费</t>
  </si>
  <si>
    <t>（A6）超级上行</t>
  </si>
  <si>
    <t>超级上行资费</t>
  </si>
  <si>
    <t>当前支持月包或一次性录收</t>
  </si>
  <si>
    <t>（A7）5G专线</t>
  </si>
  <si>
    <t>-</t>
  </si>
  <si>
    <t>规划中</t>
  </si>
  <si>
    <t>（A8）网络设计服务</t>
  </si>
  <si>
    <t>网络服务收费项/量纲设置</t>
  </si>
  <si>
    <t>当前支持一次性录收</t>
  </si>
  <si>
    <t>（A9）网络优化服务</t>
  </si>
  <si>
    <t>（A10）网络运维服务</t>
  </si>
  <si>
    <t>（A11）重保服务</t>
  </si>
  <si>
    <t>（A12）网络安全服务</t>
  </si>
  <si>
    <t>（A13）网络数字孪生</t>
  </si>
  <si>
    <t>平台功能费</t>
  </si>
  <si>
    <t>场景化专网</t>
  </si>
  <si>
    <t>双域专网</t>
  </si>
  <si>
    <t>双域专网（B2+A2+A3）</t>
  </si>
  <si>
    <t>入驻专网</t>
  </si>
  <si>
    <t>入驻专网（B2/B3+A4）</t>
  </si>
  <si>
    <t>流量（非入驻）专网</t>
  </si>
  <si>
    <t>流量（非入驻）专网（B2+A3）</t>
  </si>
  <si>
    <t>轻量化专网</t>
  </si>
  <si>
    <t>5G快线</t>
  </si>
  <si>
    <t>5G快线套餐包（B1+CPE）</t>
  </si>
  <si>
    <t>5G直连</t>
  </si>
  <si>
    <t>5G专网协议期套餐</t>
  </si>
  <si>
    <t>协议期套餐</t>
  </si>
  <si>
    <t>原子能力</t>
  </si>
  <si>
    <t>协议期</t>
  </si>
  <si>
    <t>N*6个月</t>
  </si>
  <si>
    <r>
      <rPr>
        <sz val="12"/>
        <color theme="1"/>
        <rFont val="微软雅黑"/>
        <charset val="134"/>
      </rPr>
      <t>1、根据对应原子能力协议期套餐受理出账，开具增值税专票，收入按权责发生制需按月计收
2、</t>
    </r>
    <r>
      <rPr>
        <b/>
        <sz val="12"/>
        <color theme="1"/>
        <rFont val="微软雅黑"/>
        <charset val="134"/>
      </rPr>
      <t>管控事项：</t>
    </r>
    <r>
      <rPr>
        <sz val="12"/>
        <color theme="1"/>
        <rFont val="微软雅黑"/>
        <charset val="134"/>
      </rPr>
      <t xml:space="preserve"> 
1）由省业支进行BOSS系统改造，增加业务功能模块，在套餐列账中实现按月分摊计收——取对应产品科目和协议期月份数，根据用户在该产品科目的缴费金额进行按月分摊
2）各省业支改造需与税务财务对齐，遵从当地规章制度，确保业务出账时间与报税时间一致（同一月份），避免税务方面的风险
      报税时间即增值税纳税义务发生时间，为收讫销售款项或者取得索取销售款项凭据的当天，先开具发票的，为开具发票的当天
</t>
    </r>
  </si>
  <si>
    <t>B1-5G月套餐</t>
  </si>
  <si>
    <t>B1-5G长周期套餐</t>
  </si>
  <si>
    <t>套餐包含流量</t>
  </si>
  <si>
    <t>资费（元/月）</t>
  </si>
  <si>
    <t>折扣
底线</t>
  </si>
  <si>
    <t>套外资费</t>
  </si>
  <si>
    <t>网络权益</t>
  </si>
  <si>
    <t>季包（元/季）</t>
  </si>
  <si>
    <t>半年包（元/半年）</t>
  </si>
  <si>
    <t>年包（元/年）</t>
  </si>
  <si>
    <t>折扣底线</t>
  </si>
  <si>
    <t xml:space="preserve">通用流量 </t>
  </si>
  <si>
    <t xml:space="preserve">定向流量 </t>
  </si>
  <si>
    <t>10GB</t>
  </si>
  <si>
    <t>8折</t>
  </si>
  <si>
    <t xml:space="preserve">•通用不低于3元/G，定向不低于2元/G
•不足部分按照0.03元/MB收取
</t>
  </si>
  <si>
    <t>5G畅联</t>
  </si>
  <si>
    <t>100GB</t>
  </si>
  <si>
    <t>7折</t>
  </si>
  <si>
    <r>
      <rPr>
        <sz val="12"/>
        <rFont val="微软雅黑"/>
        <charset val="134"/>
      </rPr>
      <t>•</t>
    </r>
    <r>
      <rPr>
        <sz val="12"/>
        <color rgb="FF000000"/>
        <rFont val="微软雅黑"/>
        <charset val="134"/>
      </rPr>
      <t>通用不低于3元/G，定向不低于2元/G
•不足部分按照0.03元/MB收取</t>
    </r>
  </si>
  <si>
    <t>20GB</t>
  </si>
  <si>
    <t>150GB</t>
  </si>
  <si>
    <t>30GB</t>
  </si>
  <si>
    <t>200GB</t>
  </si>
  <si>
    <t>50GB</t>
  </si>
  <si>
    <t>300GB</t>
  </si>
  <si>
    <t>500GB</t>
  </si>
  <si>
    <t>1TB</t>
  </si>
  <si>
    <t>2TB</t>
  </si>
  <si>
    <t>5G极速</t>
  </si>
  <si>
    <t>5TB</t>
  </si>
  <si>
    <t>10TB</t>
  </si>
  <si>
    <t>20TB</t>
  </si>
  <si>
    <t>50TB</t>
  </si>
  <si>
    <t>B1-5G流量池</t>
  </si>
  <si>
    <t>B1-5G流量共享</t>
  </si>
  <si>
    <t>流量池类型</t>
  </si>
  <si>
    <t>终端数
(户)</t>
  </si>
  <si>
    <t>月功能费
（元）</t>
  </si>
  <si>
    <t xml:space="preserve">通用流量单价 </t>
  </si>
  <si>
    <t>定向流量单价</t>
  </si>
  <si>
    <t xml:space="preserve">共享池
国内流量 </t>
  </si>
  <si>
    <t>（元/GB）</t>
  </si>
  <si>
    <t>通用流量</t>
  </si>
  <si>
    <t>定向流量</t>
  </si>
  <si>
    <t>第一种</t>
  </si>
  <si>
    <t>N</t>
  </si>
  <si>
    <t>1*N</t>
  </si>
  <si>
    <r>
      <rPr>
        <sz val="12"/>
        <rFont val="Arial"/>
        <family val="2"/>
      </rPr>
      <t>1.</t>
    </r>
    <r>
      <rPr>
        <sz val="12"/>
        <color rgb="FF000000"/>
        <rFont val="微软雅黑"/>
        <charset val="134"/>
      </rPr>
      <t>流量池</t>
    </r>
    <r>
      <rPr>
        <b/>
        <sz val="12"/>
        <color rgb="FFFF0000"/>
        <rFont val="微软雅黑"/>
        <charset val="134"/>
      </rPr>
      <t>终端数50户起</t>
    </r>
    <r>
      <rPr>
        <sz val="12"/>
        <color rgb="FF000000"/>
        <rFont val="微软雅黑"/>
        <charset val="134"/>
      </rPr>
      <t>；
2.功能费按照1元/户收取，不允许打折及减免。</t>
    </r>
  </si>
  <si>
    <t>•通用不低于3元/G，定向不低于2元/G</t>
  </si>
  <si>
    <t>各档位月包流量*N</t>
  </si>
  <si>
    <t xml:space="preserve">对应月包资费*N </t>
  </si>
  <si>
    <t>3元/G</t>
  </si>
  <si>
    <t>功能费按照1元/户/月收取，不强制收取</t>
  </si>
  <si>
    <t>与月包折扣相同</t>
  </si>
  <si>
    <t>与月包资费一致</t>
  </si>
  <si>
    <t>第二种</t>
  </si>
  <si>
    <r>
      <rPr>
        <sz val="12"/>
        <rFont val="Arial"/>
        <family val="2"/>
      </rPr>
      <t>1.</t>
    </r>
    <r>
      <rPr>
        <sz val="12"/>
        <color rgb="FF000000"/>
        <rFont val="微软雅黑"/>
        <charset val="134"/>
      </rPr>
      <t>流量池</t>
    </r>
    <r>
      <rPr>
        <b/>
        <sz val="12"/>
        <color rgb="FFFF0000"/>
        <rFont val="微软雅黑"/>
        <charset val="134"/>
      </rPr>
      <t>最小流量N*30G</t>
    </r>
    <r>
      <rPr>
        <sz val="12"/>
        <color rgb="FF000000"/>
        <rFont val="微软雅黑"/>
        <charset val="134"/>
      </rPr>
      <t>，如流量总消耗小于N*30G，按照最小流量池资源，即N*30G+1*N扣费；
2.功能费按照1元/户收取，不允许打折及减免。</t>
    </r>
  </si>
  <si>
    <t>B1-5G大流量测试期套餐</t>
  </si>
  <si>
    <t xml:space="preserve">名称 </t>
  </si>
  <si>
    <t>资费</t>
  </si>
  <si>
    <t>套餐包含免费资源</t>
  </si>
  <si>
    <t>套餐资源有效期</t>
  </si>
  <si>
    <t xml:space="preserve">超出后 </t>
  </si>
  <si>
    <t>免费流量（MB）</t>
  </si>
  <si>
    <t>免费短信（条）</t>
  </si>
  <si>
    <t>30天测试期套餐</t>
  </si>
  <si>
    <t>30天</t>
  </si>
  <si>
    <t>停止通信功能，或0.29元/M，0.1元/条</t>
  </si>
  <si>
    <r>
      <rPr>
        <sz val="12"/>
        <color rgb="FF000000"/>
        <rFont val="微软雅黑"/>
        <charset val="134"/>
      </rPr>
      <t>1.套餐适用于国内（不含港澳台地区），</t>
    </r>
    <r>
      <rPr>
        <b/>
        <sz val="12"/>
        <rFont val="微软雅黑"/>
        <charset val="134"/>
      </rPr>
      <t>套餐流量为通用流量</t>
    </r>
    <r>
      <rPr>
        <sz val="12"/>
        <color rgb="FF000000"/>
        <rFont val="微软雅黑"/>
        <charset val="134"/>
      </rPr>
      <t>，可访问互联网；
2.</t>
    </r>
    <r>
      <rPr>
        <b/>
        <sz val="12"/>
        <color rgb="FFFF0000"/>
        <rFont val="微软雅黑"/>
        <charset val="134"/>
      </rPr>
      <t>测试期只能有一次</t>
    </r>
    <r>
      <rPr>
        <sz val="12"/>
        <color rgb="FF000000"/>
        <rFont val="微软雅黑"/>
        <charset val="134"/>
      </rPr>
      <t>，不能申请延期</t>
    </r>
  </si>
  <si>
    <t xml:space="preserve">30天测试期套餐 </t>
  </si>
  <si>
    <t xml:space="preserve">1TB </t>
  </si>
  <si>
    <t xml:space="preserve">10条 </t>
  </si>
  <si>
    <t xml:space="preserve">1.套餐适用于国内（不含港澳台地区），套餐流量为通用/定向流量；
2.测试期只能有一次，不能申请延期。
3、每个集团客户不超过2张卡，需省政企副总经理审批 </t>
  </si>
  <si>
    <t>60天测试期套餐</t>
  </si>
  <si>
    <t>10条</t>
  </si>
  <si>
    <t xml:space="preserve">60天 </t>
  </si>
  <si>
    <t>1.套餐适用于国内（不含港澳台地区），套餐流量为通用/定向流量；
2.测试期只能有一次，不能申请延期。
3、每个集团客户不超过2张卡，需省政企总经理审批</t>
  </si>
  <si>
    <t xml:space="preserve">2TB </t>
  </si>
  <si>
    <t>1.套餐适用于国内（不含港澳台地区），套餐流量为通用/定向流量；
2.测试期只能有一次，不能申请延期
3、每个集团客户不超过2张卡，需省政企总经理审批</t>
  </si>
  <si>
    <t>1、无线带宽保障</t>
  </si>
  <si>
    <t>B2-面向单终端无线带宽保障资费-月包</t>
  </si>
  <si>
    <t>保障带宽（上行或下行）（Mbps）</t>
  </si>
  <si>
    <t>通用月包</t>
  </si>
  <si>
    <t>定向月包</t>
  </si>
  <si>
    <t xml:space="preserve">目录价 </t>
  </si>
  <si>
    <r>
      <rPr>
        <sz val="12"/>
        <color rgb="FF000000"/>
        <rFont val="微软雅黑"/>
        <charset val="134"/>
      </rPr>
      <t xml:space="preserve">底价 </t>
    </r>
    <r>
      <rPr>
        <b/>
        <sz val="12"/>
        <color rgb="FF000000"/>
        <rFont val="微软雅黑"/>
        <charset val="134"/>
      </rPr>
      <t>（5折）</t>
    </r>
  </si>
  <si>
    <r>
      <rPr>
        <sz val="12"/>
        <color rgb="FF000000"/>
        <rFont val="微软雅黑"/>
        <charset val="134"/>
      </rPr>
      <t>底价</t>
    </r>
    <r>
      <rPr>
        <b/>
        <sz val="12"/>
        <color rgb="FF000000"/>
        <rFont val="微软雅黑"/>
        <charset val="134"/>
      </rPr>
      <t xml:space="preserve"> （5折）</t>
    </r>
  </si>
  <si>
    <t>B2-面向单终端无线带宽保障资费-日包</t>
  </si>
  <si>
    <t>B2-面向单终端无线带宽保障资费-测试期</t>
  </si>
  <si>
    <t>通用日包</t>
  </si>
  <si>
    <t>定向日包</t>
  </si>
  <si>
    <r>
      <rPr>
        <b/>
        <sz val="14"/>
        <color rgb="FF000000"/>
        <rFont val="微软雅黑"/>
        <charset val="134"/>
      </rPr>
      <t xml:space="preserve">名称 </t>
    </r>
    <r>
      <rPr>
        <sz val="14"/>
        <color rgb="FF000000"/>
        <rFont val="微软雅黑"/>
        <charset val="134"/>
      </rPr>
      <t xml:space="preserve"> </t>
    </r>
  </si>
  <si>
    <r>
      <rPr>
        <b/>
        <sz val="14"/>
        <color rgb="FF000000"/>
        <rFont val="微软雅黑"/>
        <charset val="134"/>
      </rPr>
      <t>资费（元）</t>
    </r>
    <r>
      <rPr>
        <sz val="14"/>
        <color rgb="FF000000"/>
        <rFont val="微软雅黑"/>
        <charset val="134"/>
      </rPr>
      <t xml:space="preserve"> </t>
    </r>
  </si>
  <si>
    <t xml:space="preserve">对应带宽（Mbps） </t>
  </si>
  <si>
    <r>
      <rPr>
        <b/>
        <sz val="14"/>
        <color rgb="FF000000"/>
        <rFont val="微软雅黑"/>
        <charset val="134"/>
      </rPr>
      <t>免费短信 （条）</t>
    </r>
    <r>
      <rPr>
        <sz val="14"/>
        <color rgb="FF000000"/>
        <rFont val="微软雅黑"/>
        <charset val="134"/>
      </rPr>
      <t xml:space="preserve"> </t>
    </r>
  </si>
  <si>
    <r>
      <rPr>
        <b/>
        <sz val="14"/>
        <color rgb="FF000000"/>
        <rFont val="微软雅黑"/>
        <charset val="134"/>
      </rPr>
      <t xml:space="preserve">超出后 </t>
    </r>
    <r>
      <rPr>
        <sz val="14"/>
        <color rgb="FF000000"/>
        <rFont val="微软雅黑"/>
        <charset val="134"/>
      </rPr>
      <t xml:space="preserve"> </t>
    </r>
  </si>
  <si>
    <r>
      <rPr>
        <b/>
        <sz val="14"/>
        <color rgb="FF000000"/>
        <rFont val="微软雅黑"/>
        <charset val="134"/>
      </rPr>
      <t>备注</t>
    </r>
    <r>
      <rPr>
        <sz val="14"/>
        <color rgb="FF000000"/>
        <rFont val="微软雅黑"/>
        <charset val="134"/>
      </rPr>
      <t xml:space="preserve"> </t>
    </r>
  </si>
  <si>
    <t xml:space="preserve">底价（折扣） </t>
  </si>
  <si>
    <t xml:space="preserve">底价 </t>
  </si>
  <si>
    <t xml:space="preserve">10分钟测试期套餐 </t>
  </si>
  <si>
    <t>停止通信功能或对应档位日包资费，0.1元/条</t>
  </si>
  <si>
    <t xml:space="preserve">适用于国内（不含港澳台地区）；每月每档位测试期只能有一次 </t>
  </si>
  <si>
    <r>
      <rPr>
        <sz val="12"/>
        <rFont val="微软雅黑"/>
        <charset val="134"/>
      </rPr>
      <t xml:space="preserve">1.不允许突破折扣底线，突破底价折扣申请时，审批层级与5G行业流量资费相同。 
2.具体使用档位需结合网络情况确定。
3.卡费：需缴纳卡费，卡费同物联网。
4.无线带宽保障业务规则（具体规则以实际上线为准）：
</t>
    </r>
    <r>
      <rPr>
        <sz val="12"/>
        <color rgb="FFFF0000"/>
        <rFont val="微软雅黑"/>
        <charset val="134"/>
      </rPr>
      <t>1）为实现特定区域的GBR保障需求，无线带宽保障限制局域范围使用，超限制局域范围关停。</t>
    </r>
    <r>
      <rPr>
        <sz val="12"/>
        <rFont val="微软雅黑"/>
        <charset val="134"/>
      </rPr>
      <t xml:space="preserve">
2）速率设置：20M以下峰值速率为1.3倍GBR保障带宽，20M及以上带宽档位最高限制速率为保障带宽，上下行未保障侧峰值速率为500Kbps。</t>
    </r>
    <r>
      <rPr>
        <sz val="12"/>
        <color rgb="FF000000"/>
        <rFont val="微软雅黑"/>
        <charset val="134"/>
      </rPr>
      <t xml:space="preserve">
</t>
    </r>
  </si>
  <si>
    <t>2、RB无线切片</t>
  </si>
  <si>
    <t>B2-5G RB切片-面向企业公网专用-大档位</t>
  </si>
  <si>
    <t>B2-RB无线切片测试期套餐</t>
  </si>
  <si>
    <t>预留RB比例</t>
  </si>
  <si>
    <t>预留10%</t>
  </si>
  <si>
    <t>预留20%</t>
  </si>
  <si>
    <t>预留30%</t>
  </si>
  <si>
    <t>预留40%</t>
  </si>
  <si>
    <t>预留50%</t>
  </si>
  <si>
    <t>下行最大速率</t>
  </si>
  <si>
    <r>
      <rPr>
        <sz val="12"/>
        <color rgb="FFFF0000"/>
        <rFont val="微软雅黑"/>
        <charset val="134"/>
      </rPr>
      <t xml:space="preserve">∨ </t>
    </r>
    <r>
      <rPr>
        <sz val="12"/>
        <color theme="1"/>
        <rFont val="微软雅黑"/>
        <charset val="134"/>
      </rPr>
      <t>100Mbps</t>
    </r>
  </si>
  <si>
    <r>
      <rPr>
        <sz val="12"/>
        <color rgb="FFFF0000"/>
        <rFont val="微软雅黑"/>
        <charset val="134"/>
      </rPr>
      <t>∨</t>
    </r>
    <r>
      <rPr>
        <sz val="12"/>
        <color theme="1"/>
        <rFont val="微软雅黑"/>
        <charset val="134"/>
      </rPr>
      <t xml:space="preserve"> 200Mbps</t>
    </r>
  </si>
  <si>
    <r>
      <rPr>
        <sz val="12"/>
        <color rgb="FFFF0000"/>
        <rFont val="微软雅黑"/>
        <charset val="134"/>
      </rPr>
      <t xml:space="preserve">∨ </t>
    </r>
    <r>
      <rPr>
        <sz val="12"/>
        <color theme="1"/>
        <rFont val="微软雅黑"/>
        <charset val="134"/>
      </rPr>
      <t>300Mbps</t>
    </r>
  </si>
  <si>
    <r>
      <rPr>
        <sz val="12"/>
        <color rgb="FFFF0000"/>
        <rFont val="微软雅黑"/>
        <charset val="134"/>
      </rPr>
      <t xml:space="preserve">∨ </t>
    </r>
    <r>
      <rPr>
        <sz val="12"/>
        <color theme="1"/>
        <rFont val="微软雅黑"/>
        <charset val="134"/>
      </rPr>
      <t>400Mbps</t>
    </r>
  </si>
  <si>
    <r>
      <rPr>
        <sz val="12"/>
        <color rgb="FFFF0000"/>
        <rFont val="微软雅黑"/>
        <charset val="134"/>
      </rPr>
      <t xml:space="preserve">∨ </t>
    </r>
    <r>
      <rPr>
        <sz val="12"/>
        <color theme="1"/>
        <rFont val="微软雅黑"/>
        <charset val="134"/>
      </rPr>
      <t>500Mbps</t>
    </r>
  </si>
  <si>
    <t>3.0目录价 （元/站/月）</t>
  </si>
  <si>
    <t>测试期套餐资费 （元/站/月）</t>
  </si>
  <si>
    <t>审批规则</t>
  </si>
  <si>
    <t>上行最大速率</t>
  </si>
  <si>
    <r>
      <rPr>
        <sz val="12"/>
        <color rgb="FFFF0000"/>
        <rFont val="微软雅黑"/>
        <charset val="134"/>
      </rPr>
      <t xml:space="preserve">∧ </t>
    </r>
    <r>
      <rPr>
        <sz val="12"/>
        <color theme="1"/>
        <rFont val="微软雅黑"/>
        <charset val="134"/>
      </rPr>
      <t xml:space="preserve">15Mbps  </t>
    </r>
    <r>
      <rPr>
        <sz val="12"/>
        <color rgb="FFFF0000"/>
        <rFont val="微软雅黑"/>
        <charset val="134"/>
      </rPr>
      <t xml:space="preserve"> </t>
    </r>
  </si>
  <si>
    <r>
      <rPr>
        <sz val="12"/>
        <color rgb="FFFF0000"/>
        <rFont val="微软雅黑"/>
        <charset val="134"/>
      </rPr>
      <t>∧</t>
    </r>
    <r>
      <rPr>
        <sz val="12"/>
        <color theme="1"/>
        <rFont val="微软雅黑"/>
        <charset val="134"/>
      </rPr>
      <t xml:space="preserve"> 30Mbps   </t>
    </r>
  </si>
  <si>
    <r>
      <rPr>
        <sz val="12"/>
        <color rgb="FFFF0000"/>
        <rFont val="微软雅黑"/>
        <charset val="134"/>
      </rPr>
      <t xml:space="preserve">∧ </t>
    </r>
    <r>
      <rPr>
        <sz val="12"/>
        <color theme="1"/>
        <rFont val="微软雅黑"/>
        <charset val="134"/>
      </rPr>
      <t xml:space="preserve">45Mbps  </t>
    </r>
    <r>
      <rPr>
        <sz val="12"/>
        <color rgb="FFFF0000"/>
        <rFont val="微软雅黑"/>
        <charset val="134"/>
      </rPr>
      <t xml:space="preserve"> </t>
    </r>
  </si>
  <si>
    <r>
      <rPr>
        <sz val="12"/>
        <color rgb="FFFF0000"/>
        <rFont val="微软雅黑"/>
        <charset val="134"/>
      </rPr>
      <t xml:space="preserve">∧ </t>
    </r>
    <r>
      <rPr>
        <sz val="12"/>
        <color theme="1"/>
        <rFont val="微软雅黑"/>
        <charset val="134"/>
      </rPr>
      <t xml:space="preserve">60Mbps   </t>
    </r>
  </si>
  <si>
    <r>
      <rPr>
        <sz val="12"/>
        <color rgb="FFFF0000"/>
        <rFont val="微软雅黑"/>
        <charset val="134"/>
      </rPr>
      <t xml:space="preserve">∧ </t>
    </r>
    <r>
      <rPr>
        <sz val="12"/>
        <color theme="1"/>
        <rFont val="微软雅黑"/>
        <charset val="134"/>
      </rPr>
      <t xml:space="preserve">75Mbps </t>
    </r>
    <r>
      <rPr>
        <sz val="12"/>
        <color rgb="FFFF0000"/>
        <rFont val="微软雅黑"/>
        <charset val="134"/>
      </rPr>
      <t xml:space="preserve">  </t>
    </r>
  </si>
  <si>
    <t>省政企总经理审批</t>
  </si>
  <si>
    <t>下行典型速率</t>
  </si>
  <si>
    <r>
      <rPr>
        <sz val="12"/>
        <color rgb="FFFF0000"/>
        <rFont val="微软雅黑"/>
        <charset val="134"/>
      </rPr>
      <t>∨</t>
    </r>
    <r>
      <rPr>
        <sz val="12"/>
        <color theme="1"/>
        <rFont val="微软雅黑"/>
        <charset val="134"/>
      </rPr>
      <t>85Mbps</t>
    </r>
  </si>
  <si>
    <r>
      <rPr>
        <sz val="12"/>
        <color rgb="FFFF0000"/>
        <rFont val="微软雅黑"/>
        <charset val="134"/>
      </rPr>
      <t>∨</t>
    </r>
    <r>
      <rPr>
        <sz val="12"/>
        <color theme="1"/>
        <rFont val="微软雅黑"/>
        <charset val="134"/>
      </rPr>
      <t>170Mbps</t>
    </r>
  </si>
  <si>
    <r>
      <rPr>
        <sz val="12"/>
        <color rgb="FFFF0000"/>
        <rFont val="微软雅黑"/>
        <charset val="134"/>
      </rPr>
      <t>∨</t>
    </r>
    <r>
      <rPr>
        <sz val="12"/>
        <color theme="1"/>
        <rFont val="微软雅黑"/>
        <charset val="134"/>
      </rPr>
      <t>255Mbps</t>
    </r>
  </si>
  <si>
    <r>
      <rPr>
        <sz val="12"/>
        <color rgb="FFFF0000"/>
        <rFont val="微软雅黑"/>
        <charset val="134"/>
      </rPr>
      <t>∨</t>
    </r>
    <r>
      <rPr>
        <sz val="12"/>
        <color theme="1"/>
        <rFont val="微软雅黑"/>
        <charset val="134"/>
      </rPr>
      <t>340Mbps</t>
    </r>
  </si>
  <si>
    <r>
      <rPr>
        <sz val="12"/>
        <color rgb="FFFF0000"/>
        <rFont val="微软雅黑"/>
        <charset val="134"/>
      </rPr>
      <t>∨</t>
    </r>
    <r>
      <rPr>
        <sz val="12"/>
        <color theme="1"/>
        <rFont val="微软雅黑"/>
        <charset val="134"/>
      </rPr>
      <t>425Mbps</t>
    </r>
  </si>
  <si>
    <t>上行典型速率</t>
  </si>
  <si>
    <r>
      <rPr>
        <sz val="12"/>
        <color rgb="FFFF0000"/>
        <rFont val="微软雅黑"/>
        <charset val="134"/>
      </rPr>
      <t>∧</t>
    </r>
    <r>
      <rPr>
        <sz val="12"/>
        <color theme="1"/>
        <rFont val="微软雅黑"/>
        <charset val="134"/>
      </rPr>
      <t>9Mbps</t>
    </r>
  </si>
  <si>
    <r>
      <rPr>
        <sz val="12"/>
        <color rgb="FFFF0000"/>
        <rFont val="微软雅黑"/>
        <charset val="134"/>
      </rPr>
      <t>∧</t>
    </r>
    <r>
      <rPr>
        <sz val="12"/>
        <color theme="1"/>
        <rFont val="微软雅黑"/>
        <charset val="134"/>
      </rPr>
      <t>18Mbps</t>
    </r>
  </si>
  <si>
    <r>
      <rPr>
        <sz val="12"/>
        <color rgb="FFFF0000"/>
        <rFont val="微软雅黑"/>
        <charset val="134"/>
      </rPr>
      <t>∧</t>
    </r>
    <r>
      <rPr>
        <sz val="12"/>
        <color theme="1"/>
        <rFont val="微软雅黑"/>
        <charset val="134"/>
      </rPr>
      <t>27Mbps</t>
    </r>
  </si>
  <si>
    <r>
      <rPr>
        <sz val="12"/>
        <color rgb="FFFF0000"/>
        <rFont val="微软雅黑"/>
        <charset val="134"/>
      </rPr>
      <t>∧</t>
    </r>
    <r>
      <rPr>
        <sz val="12"/>
        <color theme="1"/>
        <rFont val="微软雅黑"/>
        <charset val="134"/>
      </rPr>
      <t>36Mbps</t>
    </r>
  </si>
  <si>
    <r>
      <rPr>
        <sz val="12"/>
        <color rgb="FFFF0000"/>
        <rFont val="微软雅黑"/>
        <charset val="134"/>
      </rPr>
      <t>∧</t>
    </r>
    <r>
      <rPr>
        <sz val="12"/>
        <color theme="1"/>
        <rFont val="微软雅黑"/>
        <charset val="134"/>
      </rPr>
      <t>45Mbps</t>
    </r>
  </si>
  <si>
    <t>目录价
（元/站/月）</t>
  </si>
  <si>
    <t>B2-5G RB切片-面向企业公网专用-小档位</t>
  </si>
  <si>
    <t>RB预留比例</t>
  </si>
  <si>
    <t>预留1%</t>
  </si>
  <si>
    <t>预留2%</t>
  </si>
  <si>
    <t>预留3%</t>
  </si>
  <si>
    <t>预留5%</t>
  </si>
  <si>
    <t>预留8%</t>
  </si>
  <si>
    <t>省公司副总级办公会决策/签报</t>
  </si>
  <si>
    <r>
      <rPr>
        <sz val="12"/>
        <color rgb="FFFF0000"/>
        <rFont val="微软雅黑"/>
        <charset val="134"/>
      </rPr>
      <t>∨</t>
    </r>
    <r>
      <rPr>
        <sz val="12"/>
        <color rgb="FF000000"/>
        <rFont val="微软雅黑"/>
        <charset val="134"/>
      </rPr>
      <t xml:space="preserve"> 10Mbps</t>
    </r>
  </si>
  <si>
    <r>
      <rPr>
        <sz val="12"/>
        <color rgb="FFFF0000"/>
        <rFont val="微软雅黑"/>
        <charset val="134"/>
      </rPr>
      <t>∨</t>
    </r>
    <r>
      <rPr>
        <sz val="12"/>
        <color rgb="FF000000"/>
        <rFont val="微软雅黑"/>
        <charset val="134"/>
      </rPr>
      <t xml:space="preserve"> 20Mbps</t>
    </r>
  </si>
  <si>
    <r>
      <rPr>
        <sz val="12"/>
        <color rgb="FFFF0000"/>
        <rFont val="微软雅黑"/>
        <charset val="134"/>
      </rPr>
      <t>∨</t>
    </r>
    <r>
      <rPr>
        <sz val="12"/>
        <color rgb="FF000000"/>
        <rFont val="微软雅黑"/>
        <charset val="134"/>
      </rPr>
      <t xml:space="preserve"> 30Mbps</t>
    </r>
  </si>
  <si>
    <r>
      <rPr>
        <sz val="12"/>
        <color rgb="FFFF0000"/>
        <rFont val="微软雅黑"/>
        <charset val="134"/>
      </rPr>
      <t>∨</t>
    </r>
    <r>
      <rPr>
        <sz val="12"/>
        <color rgb="FF000000"/>
        <rFont val="微软雅黑"/>
        <charset val="134"/>
      </rPr>
      <t xml:space="preserve"> 50Mbps</t>
    </r>
  </si>
  <si>
    <r>
      <rPr>
        <sz val="12"/>
        <color rgb="FFFF0000"/>
        <rFont val="微软雅黑"/>
        <charset val="134"/>
      </rPr>
      <t>∨</t>
    </r>
    <r>
      <rPr>
        <sz val="12"/>
        <color rgb="FF000000"/>
        <rFont val="微软雅黑"/>
        <charset val="134"/>
      </rPr>
      <t xml:space="preserve"> 80Mbps</t>
    </r>
  </si>
  <si>
    <r>
      <rPr>
        <sz val="12"/>
        <color rgb="FFFF0000"/>
        <rFont val="微软雅黑"/>
        <charset val="134"/>
      </rPr>
      <t>∧</t>
    </r>
    <r>
      <rPr>
        <sz val="12"/>
        <color rgb="FF000000"/>
        <rFont val="微软雅黑"/>
        <charset val="134"/>
      </rPr>
      <t xml:space="preserve"> 1.5Mbps   </t>
    </r>
  </si>
  <si>
    <r>
      <rPr>
        <sz val="12"/>
        <color rgb="FFFF0000"/>
        <rFont val="微软雅黑"/>
        <charset val="134"/>
      </rPr>
      <t>∧</t>
    </r>
    <r>
      <rPr>
        <sz val="12"/>
        <color rgb="FF000000"/>
        <rFont val="微软雅黑"/>
        <charset val="134"/>
      </rPr>
      <t xml:space="preserve"> 3Mbps   </t>
    </r>
  </si>
  <si>
    <r>
      <rPr>
        <sz val="12"/>
        <color rgb="FFFF0000"/>
        <rFont val="微软雅黑"/>
        <charset val="134"/>
      </rPr>
      <t>∧</t>
    </r>
    <r>
      <rPr>
        <sz val="12"/>
        <color rgb="FF000000"/>
        <rFont val="微软雅黑"/>
        <charset val="134"/>
      </rPr>
      <t xml:space="preserve"> 4.5Mbps   </t>
    </r>
  </si>
  <si>
    <r>
      <rPr>
        <sz val="12"/>
        <color rgb="FFFF0000"/>
        <rFont val="微软雅黑"/>
        <charset val="134"/>
      </rPr>
      <t>∧</t>
    </r>
    <r>
      <rPr>
        <sz val="12"/>
        <color rgb="FF000000"/>
        <rFont val="微软雅黑"/>
        <charset val="134"/>
      </rPr>
      <t xml:space="preserve"> 7.5Mbps   </t>
    </r>
  </si>
  <si>
    <r>
      <rPr>
        <sz val="12"/>
        <color rgb="FFFF0000"/>
        <rFont val="微软雅黑"/>
        <charset val="134"/>
      </rPr>
      <t>∧</t>
    </r>
    <r>
      <rPr>
        <sz val="12"/>
        <color rgb="FF000000"/>
        <rFont val="微软雅黑"/>
        <charset val="134"/>
      </rPr>
      <t xml:space="preserve"> 12Mbps   </t>
    </r>
  </si>
  <si>
    <r>
      <rPr>
        <sz val="12"/>
        <color rgb="FFFF0000"/>
        <rFont val="微软雅黑"/>
        <charset val="134"/>
      </rPr>
      <t>∨</t>
    </r>
    <r>
      <rPr>
        <sz val="12"/>
        <color theme="1"/>
        <rFont val="微软雅黑"/>
        <charset val="134"/>
      </rPr>
      <t>8Mbps</t>
    </r>
  </si>
  <si>
    <r>
      <rPr>
        <sz val="12"/>
        <color rgb="FFFF0000"/>
        <rFont val="微软雅黑"/>
        <charset val="134"/>
      </rPr>
      <t>∨</t>
    </r>
    <r>
      <rPr>
        <sz val="12"/>
        <color theme="1"/>
        <rFont val="微软雅黑"/>
        <charset val="134"/>
      </rPr>
      <t>16Mbps</t>
    </r>
  </si>
  <si>
    <r>
      <rPr>
        <sz val="12"/>
        <color rgb="FFFF0000"/>
        <rFont val="微软雅黑"/>
        <charset val="134"/>
      </rPr>
      <t>∨</t>
    </r>
    <r>
      <rPr>
        <sz val="12"/>
        <color theme="1"/>
        <rFont val="微软雅黑"/>
        <charset val="134"/>
      </rPr>
      <t>24Mbps</t>
    </r>
  </si>
  <si>
    <r>
      <rPr>
        <sz val="12"/>
        <color rgb="FFFF0000"/>
        <rFont val="微软雅黑"/>
        <charset val="134"/>
      </rPr>
      <t>∨</t>
    </r>
    <r>
      <rPr>
        <sz val="12"/>
        <color theme="1"/>
        <rFont val="微软雅黑"/>
        <charset val="134"/>
      </rPr>
      <t>37Mbps</t>
    </r>
  </si>
  <si>
    <r>
      <rPr>
        <sz val="12"/>
        <color rgb="FFFF0000"/>
        <rFont val="微软雅黑"/>
        <charset val="134"/>
      </rPr>
      <t>∨</t>
    </r>
    <r>
      <rPr>
        <sz val="12"/>
        <color theme="1"/>
        <rFont val="微软雅黑"/>
        <charset val="134"/>
      </rPr>
      <t>71Mbps</t>
    </r>
  </si>
  <si>
    <r>
      <rPr>
        <sz val="12"/>
        <color rgb="FFFF0000"/>
        <rFont val="微软雅黑"/>
        <charset val="134"/>
      </rPr>
      <t>∧</t>
    </r>
    <r>
      <rPr>
        <sz val="12"/>
        <color theme="1"/>
        <rFont val="微软雅黑"/>
        <charset val="134"/>
      </rPr>
      <t>0.9Mbps</t>
    </r>
  </si>
  <si>
    <r>
      <rPr>
        <sz val="12"/>
        <color rgb="FFFF0000"/>
        <rFont val="微软雅黑"/>
        <charset val="134"/>
      </rPr>
      <t>∧</t>
    </r>
    <r>
      <rPr>
        <sz val="12"/>
        <color theme="1"/>
        <rFont val="微软雅黑"/>
        <charset val="134"/>
      </rPr>
      <t>1.8Mbps</t>
    </r>
  </si>
  <si>
    <r>
      <rPr>
        <sz val="12"/>
        <color rgb="FFFF0000"/>
        <rFont val="微软雅黑"/>
        <charset val="134"/>
      </rPr>
      <t>∧</t>
    </r>
    <r>
      <rPr>
        <sz val="12"/>
        <color theme="1"/>
        <rFont val="微软雅黑"/>
        <charset val="134"/>
      </rPr>
      <t>2.7Mbps</t>
    </r>
  </si>
  <si>
    <r>
      <rPr>
        <sz val="12"/>
        <color rgb="FFFF0000"/>
        <rFont val="微软雅黑"/>
        <charset val="134"/>
      </rPr>
      <t>∧</t>
    </r>
    <r>
      <rPr>
        <sz val="12"/>
        <color theme="1"/>
        <rFont val="微软雅黑"/>
        <charset val="134"/>
      </rPr>
      <t>4.5Mbps</t>
    </r>
  </si>
  <si>
    <r>
      <rPr>
        <sz val="12"/>
        <color rgb="FFFF0000"/>
        <rFont val="微软雅黑"/>
        <charset val="134"/>
      </rPr>
      <t>∧</t>
    </r>
    <r>
      <rPr>
        <sz val="12"/>
        <color theme="1"/>
        <rFont val="微软雅黑"/>
        <charset val="134"/>
      </rPr>
      <t>8.1Mbps</t>
    </r>
  </si>
  <si>
    <r>
      <rPr>
        <b/>
        <sz val="12"/>
        <rFont val="微软雅黑"/>
        <charset val="134"/>
      </rPr>
      <t>RB资源预留业务规则（具体规则以实际上线为准）：</t>
    </r>
    <r>
      <rPr>
        <sz val="12"/>
        <rFont val="微软雅黑"/>
        <charset val="134"/>
      </rPr>
      <t xml:space="preserve">
1、目前RB资源预留暂仅针对宏站推优先预留（室分暂按照B3模式报价）底限设为3折。折扣底线3折，如突破底线折扣，根据项目实际效益进行以下决策：
1）低于3折最低折扣，但满足ICT利润要求的项目，适度管控，需通过省公司副总级办公会决策/签报。
2）低于3折最低折扣，且不满足ICT利润要求的项目，严格管控，需通过省公司副总级（及以上）办公会决策/签报，并通过OA业务联系单呈报集团政企事业部，政企事业部领导专题会决策通过方可执行。
</t>
    </r>
    <r>
      <rPr>
        <sz val="12"/>
        <color rgb="FFFF0000"/>
        <rFont val="微软雅黑"/>
        <charset val="134"/>
      </rPr>
      <t>2、RB资源预留资费下，采用基站锁定限制，不再单独收取流量费。每开一张卡需收取1元/卡/月5G SA公网专用卡功能费；如出限定基站范围，则针对对应卡进行关停。</t>
    </r>
    <r>
      <rPr>
        <sz val="12"/>
        <rFont val="微软雅黑"/>
        <charset val="134"/>
      </rPr>
      <t xml:space="preserve">
3、RB资源预留受实际网络覆盖影响，网络好、中、差点实际速率不同，建议在系统订购界面或合同条款中注明“实际网络速率会受到多方面因素影响，具体情况以当地移动技术人员现场测试结果为准。”
4、具体网络情况以网络勘察结果为准。</t>
    </r>
  </si>
  <si>
    <r>
      <t xml:space="preserve">
RB资源预留测试期套餐业务规则（具体规则以实际上线为准）：
</t>
    </r>
    <r>
      <rPr>
        <sz val="12"/>
        <rFont val="微软雅黑"/>
        <charset val="134"/>
      </rPr>
      <t>1、B2 RB无线切片，测试期期间减免1元/卡/月的5G SA公网专用卡功能费。
2、测试期原则上不得超过3个月，禁止延期，各省可根据实际项目情况灵活申请。
3、每个客户仅能订购一次测试期，且同类产品的测试期套餐不可与正式套餐同时存在。
4、测试期可选择即时生效或次月生效，测试期限内不出账。
4、测试期使用的资源按照分层分级审批的原则，根据产品的档位不同进行以下决策：
1）测试期使用预留比例5%及以下资源需通过需省政企总经理审批。
2）测试期使用预留比例5%以上资源需通过省公司副总级办公会决策/签报。</t>
    </r>
  </si>
  <si>
    <t>B2-5G本地环回流量资费</t>
  </si>
  <si>
    <t>适用场景：A4数据不出场（UPF下沉园区）</t>
  </si>
  <si>
    <t>3、双域专网</t>
  </si>
  <si>
    <t>专网流量包</t>
  </si>
  <si>
    <t>专网流量池</t>
  </si>
  <si>
    <t>套餐包含流量（GB/月）　</t>
  </si>
  <si>
    <t>目录价
（元/月）</t>
  </si>
  <si>
    <t>底价
（元/月） </t>
  </si>
  <si>
    <t>套外资费 </t>
  </si>
  <si>
    <t>统购流量池档位</t>
  </si>
  <si>
    <t>流量单价目录价（元/GB/月）</t>
  </si>
  <si>
    <t>流量单价底价（元/GB/月）</t>
  </si>
  <si>
    <t>按个人套餐基本包资费标准收取</t>
  </si>
  <si>
    <t>(0，500GB）</t>
  </si>
  <si>
    <t>[500GB,1TB）</t>
  </si>
  <si>
    <t>1TB及以上</t>
  </si>
  <si>
    <r>
      <rPr>
        <sz val="12"/>
        <color theme="1"/>
        <rFont val="微软雅黑"/>
        <charset val="134"/>
      </rPr>
      <t>1、</t>
    </r>
    <r>
      <rPr>
        <b/>
        <sz val="12"/>
        <color theme="1"/>
        <rFont val="微软雅黑"/>
        <charset val="134"/>
      </rPr>
      <t>付费模式</t>
    </r>
    <r>
      <rPr>
        <sz val="12"/>
        <color theme="1"/>
        <rFont val="微软雅黑"/>
        <charset val="134"/>
      </rPr>
      <t>：支持个付及统付
2、</t>
    </r>
    <r>
      <rPr>
        <b/>
        <sz val="12"/>
        <color theme="1"/>
        <rFont val="微软雅黑"/>
        <charset val="134"/>
      </rPr>
      <t>适用场景</t>
    </r>
    <r>
      <rPr>
        <sz val="12"/>
        <color theme="1"/>
        <rFont val="微软雅黑"/>
        <charset val="134"/>
      </rPr>
      <t>：适用于确定流量需求及使用人群，满足固定用户本地访问、固定用户漫游访问需求
3、</t>
    </r>
    <r>
      <rPr>
        <b/>
        <sz val="12"/>
        <color theme="1"/>
        <rFont val="微软雅黑"/>
        <charset val="134"/>
      </rPr>
      <t>管控事项：</t>
    </r>
    <r>
      <rPr>
        <sz val="12"/>
        <color theme="1"/>
        <rFont val="微软雅黑"/>
        <charset val="134"/>
      </rPr>
      <t xml:space="preserve"> 
1）专网流量不支持从专网链接到其他网络地址。
2）流量使用优先级：专网流量包或流量池-套外资费（套外按个人套餐基本包资费标准收取）。
3）禁止进行流量的转卖转售。
4）省间结算标准按大市场当年定向流量省间结算指导价执行。</t>
    </r>
  </si>
  <si>
    <r>
      <rPr>
        <b/>
        <sz val="12"/>
        <color theme="1"/>
        <rFont val="微软雅黑"/>
        <charset val="134"/>
      </rPr>
      <t>1、付费模式：</t>
    </r>
    <r>
      <rPr>
        <sz val="12"/>
        <color theme="1"/>
        <rFont val="微软雅黑"/>
        <charset val="134"/>
      </rPr>
      <t xml:space="preserve">统付
</t>
    </r>
    <r>
      <rPr>
        <b/>
        <sz val="12"/>
        <color theme="1"/>
        <rFont val="微软雅黑"/>
        <charset val="134"/>
      </rPr>
      <t>2、适用场景：</t>
    </r>
    <r>
      <rPr>
        <sz val="12"/>
        <color theme="1"/>
        <rFont val="微软雅黑"/>
        <charset val="134"/>
      </rPr>
      <t xml:space="preserve">适用于不确定使用人群和人数，满足非固定用户本地访问需求
</t>
    </r>
    <r>
      <rPr>
        <b/>
        <sz val="12"/>
        <color theme="1"/>
        <rFont val="微软雅黑"/>
        <charset val="134"/>
      </rPr>
      <t>3、</t>
    </r>
    <r>
      <rPr>
        <sz val="12"/>
        <color theme="1"/>
        <rFont val="微软雅黑"/>
        <charset val="134"/>
      </rPr>
      <t xml:space="preserve">流量池按当月实际使用流量进行收费
</t>
    </r>
    <r>
      <rPr>
        <b/>
        <sz val="12"/>
        <color theme="1"/>
        <rFont val="微软雅黑"/>
        <charset val="134"/>
      </rPr>
      <t>4、管控事项：</t>
    </r>
    <r>
      <rPr>
        <sz val="12"/>
        <color theme="1"/>
        <rFont val="微软雅黑"/>
        <charset val="134"/>
      </rPr>
      <t xml:space="preserve"> 
1）专网流量不支持从专网链接到其他网络地址
2）超出流量池部分按流量单价收取
3）禁止进行流量的转卖转售
4）省间结算标准按大市场当年定向流量省间结算指导价执行
</t>
    </r>
  </si>
  <si>
    <t>B3标准目录价--系统目录价</t>
  </si>
  <si>
    <t>增加首次和增强覆盖服务那列</t>
  </si>
  <si>
    <t>设备类型</t>
  </si>
  <si>
    <t>场景</t>
  </si>
  <si>
    <t>部署位置</t>
  </si>
  <si>
    <t>目录价                       （万元/站/月）</t>
  </si>
  <si>
    <t>续签价格                         （万元/站/月）</t>
  </si>
  <si>
    <t>宏站</t>
  </si>
  <si>
    <t>_____</t>
  </si>
  <si>
    <t>移动机房</t>
  </si>
  <si>
    <t>客户机房</t>
  </si>
  <si>
    <t>室分RRU</t>
  </si>
  <si>
    <t>首次覆盖服务</t>
  </si>
  <si>
    <t>BBU设备及配套+RRU设备及配套</t>
  </si>
  <si>
    <t>增强覆盖服务</t>
  </si>
  <si>
    <t>仅新增RRU设备及配套</t>
  </si>
  <si>
    <t>室分PRRU</t>
  </si>
  <si>
    <t>BBU设备及配套+PRRU设备及配套</t>
  </si>
  <si>
    <t>仅新增PRRU设备及配套</t>
  </si>
  <si>
    <t>3折</t>
  </si>
  <si>
    <r>
      <rPr>
        <b/>
        <sz val="12"/>
        <color theme="1"/>
        <rFont val="微软雅黑"/>
        <charset val="134"/>
      </rPr>
      <t>结合市场需求本次进行资费结构迭代。</t>
    </r>
    <r>
      <rPr>
        <sz val="12"/>
        <color theme="1"/>
        <rFont val="微软雅黑"/>
        <charset val="134"/>
      </rPr>
      <t xml:space="preserve">
1、目录价为合同期1-3年的价格。续签价格只适用于合同期累计超过3年客户，续签价格与合同期大于3年小于7年的目录价一致。
2、折扣底线3折，如突破底线折扣，根据项目实际效益进行以下决策：
1）低于3折最低折扣，但满足省内ICT管理要求的项目，根据省内ICT项目管理要求审批。
2）低于3折最低折扣，且不满足省内ICT管理要求的项目，严格管控，各省审批通过后，报集团审批。
3、室分设备测算和订购说明：
1）根据厂家提供的室分模型进行成本测算，其中1个BBU最多可以部署3个RRU或32个PRRU；
2）客户在订购RRU设备总数不超过3个，PRRU设备总数不超过32个时，</t>
    </r>
    <r>
      <rPr>
        <sz val="12"/>
        <color rgb="FFFF0000"/>
        <rFont val="微软雅黑"/>
        <charset val="134"/>
      </rPr>
      <t>仅需订购1个首次覆盖服务和相应个数的增强覆盖服务</t>
    </r>
    <r>
      <rPr>
        <sz val="12"/>
        <color theme="1"/>
        <rFont val="微软雅黑"/>
        <charset val="134"/>
      </rPr>
      <t>；
3）订购示例：如客户共需订购3个RRU，需订购1个首次覆盖服务+2个增强覆盖服务；如需订购4个RRU，则需订购2个覆盖服务+2个增强覆盖服务。
4、</t>
    </r>
    <r>
      <rPr>
        <sz val="12"/>
        <color rgb="FFFF0000"/>
        <rFont val="微软雅黑"/>
        <charset val="134"/>
      </rPr>
      <t>B3模式下，采用基站锁定限制，不再单独收取流量费。每开一张卡需收取1元/卡/月5G SA专网专用卡功能费；如出限定基站范围，则针对对应卡进行关停。</t>
    </r>
  </si>
  <si>
    <t>A1-业务加速</t>
  </si>
  <si>
    <t xml:space="preserve">业务加速内容 </t>
  </si>
  <si>
    <t xml:space="preserve">月功能费 （元/月） </t>
  </si>
  <si>
    <t>折扣底价</t>
  </si>
  <si>
    <t>峰值速率</t>
  </si>
  <si>
    <t>优先级（5QI）</t>
  </si>
  <si>
    <t>畅联服务
升级为
极速服务</t>
  </si>
  <si>
    <t>用户可选择立即生效、下月生效、指定日期生效，生效前可退订。</t>
  </si>
  <si>
    <t>100M/1G</t>
  </si>
  <si>
    <t>畅联服务或极速服务升级为
迅驰服务</t>
  </si>
  <si>
    <t>200M/1G</t>
  </si>
  <si>
    <t>A2-业务隔离</t>
  </si>
  <si>
    <t>商品名称</t>
  </si>
  <si>
    <t>功能费</t>
  </si>
  <si>
    <t>DNN费</t>
  </si>
  <si>
    <t>1000元/月，各省自行把控</t>
  </si>
  <si>
    <t>5G BAF边缘计算价格目录</t>
  </si>
  <si>
    <t>目录价测算模型：单位成本/折扣底限*档位</t>
  </si>
  <si>
    <t>产品</t>
  </si>
  <si>
    <t>计费量纲</t>
  </si>
  <si>
    <t>订购信息</t>
  </si>
  <si>
    <t>折扣底限</t>
  </si>
  <si>
    <t>续签价
（元/月）</t>
  </si>
  <si>
    <t>A3-本地业务保障测试期套餐</t>
  </si>
  <si>
    <t>套餐</t>
  </si>
  <si>
    <t>档位</t>
  </si>
  <si>
    <t>3.0目录价 （元/月）</t>
  </si>
  <si>
    <t>测试期套餐资费 （元/月）</t>
  </si>
  <si>
    <t>A3本地业务保障</t>
  </si>
  <si>
    <t>分流带宽</t>
  </si>
  <si>
    <t>A3共享
（边缘UPF）
（移动侧部署）</t>
  </si>
  <si>
    <t>100Mbps</t>
  </si>
  <si>
    <r>
      <rPr>
        <b/>
        <sz val="11"/>
        <color theme="1"/>
        <rFont val="等线"/>
        <charset val="134"/>
        <scheme val="minor"/>
      </rPr>
      <t>A3本地业务保障</t>
    </r>
    <r>
      <rPr>
        <sz val="11"/>
        <color theme="1"/>
        <rFont val="等线"/>
        <charset val="134"/>
        <scheme val="minor"/>
      </rPr>
      <t xml:space="preserve">
以100Gbps吞吐量的边缘UPF网元定价
15%成本利润率测算
销售单价按照折扣底限测算</t>
    </r>
  </si>
  <si>
    <t>省政企副总经理审批</t>
  </si>
  <si>
    <t>200Mbps</t>
  </si>
  <si>
    <t>500Mbps</t>
  </si>
  <si>
    <t>1Gbps</t>
  </si>
  <si>
    <t>2Gbps</t>
  </si>
  <si>
    <t>5Gbps</t>
  </si>
  <si>
    <t>10Gbps</t>
  </si>
  <si>
    <t>备注：
1、A3业务需根据UPF个数计费。
即：订购资费=∑XX带宽UPF目录价*折扣率*XX带宽UPF个数
允许一个客户订购多个不同A2（DNN）业务时，每个DNN对应开通不同带宽规格UPF，订购不同档位的A4资费。</t>
  </si>
  <si>
    <r>
      <rPr>
        <sz val="11"/>
        <color theme="1"/>
        <rFont val="等线"/>
        <charset val="134"/>
        <scheme val="minor"/>
      </rPr>
      <t>备注：
1、测试期原则上不</t>
    </r>
    <r>
      <rPr>
        <sz val="11"/>
        <color rgb="FFFF0000"/>
        <rFont val="等线"/>
        <charset val="134"/>
        <scheme val="minor"/>
      </rPr>
      <t>得超过3个月，禁止延期</t>
    </r>
    <r>
      <rPr>
        <sz val="11"/>
        <color theme="1"/>
        <rFont val="等线"/>
        <charset val="134"/>
        <scheme val="minor"/>
      </rPr>
      <t>，各省可根据实际项目情况灵活申请。
2、每个客户</t>
    </r>
    <r>
      <rPr>
        <sz val="11"/>
        <color rgb="FFFF0000"/>
        <rFont val="等线"/>
        <charset val="134"/>
        <scheme val="minor"/>
      </rPr>
      <t>仅能订购一次</t>
    </r>
    <r>
      <rPr>
        <sz val="11"/>
        <color theme="1"/>
        <rFont val="等线"/>
        <charset val="134"/>
        <scheme val="minor"/>
      </rPr>
      <t>测试期，且同类产品的测试期套餐不可与正式套餐同时存在。
3、测试期可选择</t>
    </r>
    <r>
      <rPr>
        <sz val="11"/>
        <color rgb="FFFF0000"/>
        <rFont val="等线"/>
        <charset val="134"/>
        <scheme val="minor"/>
      </rPr>
      <t>即时生效或次月生效</t>
    </r>
    <r>
      <rPr>
        <sz val="11"/>
        <color theme="1"/>
        <rFont val="等线"/>
        <charset val="134"/>
        <scheme val="minor"/>
      </rPr>
      <t>，测试期限内不出账。
4、测试期使用的资源按照分层分级审批的原则，根据产品的档位不同进行以下决策：
1）测试期使用的带宽资源小于等于1Gbps需通过省政企副总经理审批。
2）测试期使用的带宽资源超过1Gbps需通过省公司副总级办公会决策/签报。</t>
    </r>
  </si>
  <si>
    <t>订购单价（元/月）（按订购年限对应）</t>
  </si>
  <si>
    <t>续签单价</t>
  </si>
  <si>
    <t>UPF类型</t>
  </si>
  <si>
    <t>1年</t>
  </si>
  <si>
    <t>2年</t>
  </si>
  <si>
    <t>3年</t>
  </si>
  <si>
    <t>4年</t>
  </si>
  <si>
    <t>5年</t>
  </si>
  <si>
    <t>A4数据不出场</t>
  </si>
  <si>
    <r>
      <rPr>
        <sz val="10"/>
        <color rgb="FF000000"/>
        <rFont val="微软雅黑"/>
        <charset val="134"/>
      </rPr>
      <t>A4独享</t>
    </r>
    <r>
      <rPr>
        <sz val="10"/>
        <color rgb="FF000000"/>
        <rFont val="Arial"/>
        <family val="2"/>
      </rPr>
      <t>_</t>
    </r>
    <r>
      <rPr>
        <sz val="10"/>
        <color rgb="FF000000"/>
        <rFont val="微软雅黑"/>
        <charset val="134"/>
      </rPr>
      <t>x005f_x000B_（客户机房）</t>
    </r>
  </si>
  <si>
    <t>独享型UPF</t>
  </si>
  <si>
    <t>增强型UPF</t>
  </si>
  <si>
    <t>20Gbps</t>
  </si>
  <si>
    <t>50Gbps</t>
  </si>
  <si>
    <t>100Gbps</t>
  </si>
  <si>
    <t>A4独享
（移动机房）</t>
  </si>
  <si>
    <t xml:space="preserve">备注：
1、增强型UPF适用于对服务器性能要求较高，有软件部署需求的客户；独享型UPF适用于对服务器性能没有过高要求，仅使用分流功能的客户。
2、A4业务需根据UPF个数计费。
即：订购资费=∑XX带宽UPF目录价*折扣率*XX带宽UPF个数
允许一个客户订购多个不同A2（DNN）业务时，每个DNN对应开通不同带宽规格UPF，订购不同档位的A4资费。
</t>
  </si>
  <si>
    <t xml:space="preserve">A4
现场应急保障
</t>
  </si>
  <si>
    <r>
      <rPr>
        <sz val="10"/>
        <color rgb="FF000000"/>
        <rFont val="微软雅黑"/>
        <charset val="134"/>
      </rPr>
      <t>A4独享</t>
    </r>
    <r>
      <rPr>
        <sz val="10"/>
        <color rgb="FF000000"/>
        <rFont val="Arial"/>
        <family val="2"/>
      </rPr>
      <t>_</t>
    </r>
    <r>
      <rPr>
        <sz val="10"/>
        <color rgb="FF000000"/>
        <rFont val="微软雅黑"/>
        <charset val="134"/>
      </rPr>
      <t>x005f</t>
    </r>
    <r>
      <rPr>
        <sz val="10"/>
        <color rgb="FF000000"/>
        <rFont val="Arial"/>
        <family val="2"/>
      </rPr>
      <t>_</t>
    </r>
    <r>
      <rPr>
        <sz val="10"/>
        <color rgb="FF000000"/>
        <rFont val="微软雅黑"/>
        <charset val="134"/>
      </rPr>
      <t>x005f_x005F_x005f_x005F_x005f_x005F_x005f_x005F_x005f_x005F_x005f_x005F_x005f_x005F_x005f_x005F_x005f_x005F_x005f_x005F_x000b_（客户机房）</t>
    </r>
  </si>
  <si>
    <t>边缘类</t>
  </si>
  <si>
    <t>边缘增强类</t>
  </si>
  <si>
    <t xml:space="preserve">备注：
1、最终以商用发文或资费发文为准。
2、设备分为边缘和边缘增强两类，边缘类适用于对服务器性能要求较低、仅使用分流功能的客户，边缘增强类适用于对服务器性能要求较高，有边缘计算、软件部署需求的客户。
3、A4业务需根据UPF+个数计费。
即：订购资费=∑XX带宽UPF目录价*折扣率*XX带宽UPF个数
允许一个客户订购多个不同A2（DNN）业务时，每个DNN对应开通不同带宽规格UPF，订购不同档位的A4资费。
</t>
  </si>
  <si>
    <t>档位（vCPU,内存，硬盘）</t>
  </si>
  <si>
    <t>A5边缘节点</t>
  </si>
  <si>
    <t>资源类型及大小</t>
  </si>
  <si>
    <t xml:space="preserve">通用型
（vCPU内存比为1:4)
适用于高网络包收发场景
</t>
  </si>
  <si>
    <t>（80，320，6.4）</t>
  </si>
  <si>
    <t>（160，640，12.8）</t>
  </si>
  <si>
    <t>（400，1600，32）</t>
  </si>
  <si>
    <t>（640，2560，51.2）</t>
  </si>
  <si>
    <t xml:space="preserve">计算型
(vCPU内存比为1:2)
适用于数据分析等计算密集型场景
</t>
  </si>
  <si>
    <t>（80，160，6.4）</t>
  </si>
  <si>
    <t>（160，320，12.8）</t>
  </si>
  <si>
    <t>（400，800，32）</t>
  </si>
  <si>
    <t>（640，1280，51.2）</t>
  </si>
  <si>
    <t xml:space="preserve">大数据型
(vCPU内存比为1:4)
适用于海量数据存储和计算的业务场景
</t>
  </si>
  <si>
    <t>（80，320，12.8）</t>
  </si>
  <si>
    <t>（160，640，25.6）</t>
  </si>
  <si>
    <t>（400，1600，64）</t>
  </si>
  <si>
    <t>（640，1600，102.4）</t>
  </si>
  <si>
    <t xml:space="preserve">备注：
1、当前订购A5的客户，赠送MEP平台，可为客户开通自服务账号。
 </t>
  </si>
  <si>
    <t>服务模式一（包年服务）</t>
  </si>
  <si>
    <t>模式</t>
  </si>
  <si>
    <t>报价模式</t>
  </si>
  <si>
    <t>运维要求分类</t>
  </si>
  <si>
    <t>基础收费项</t>
  </si>
  <si>
    <t>额外收费项</t>
  </si>
  <si>
    <t>运维产品</t>
  </si>
  <si>
    <t>服务保障等级</t>
  </si>
  <si>
    <t>服务内容</t>
  </si>
  <si>
    <t>（1）7*24小时监控与故障响应</t>
  </si>
  <si>
    <t>（2）割接告知</t>
  </si>
  <si>
    <t>（3）网络巡检</t>
  </si>
  <si>
    <t>（4）坏件更换</t>
  </si>
  <si>
    <t>（5）电话热线和技术支持</t>
  </si>
  <si>
    <t>（6）专属应急演练</t>
  </si>
  <si>
    <t>（7）是否轻量级网管下沉</t>
  </si>
  <si>
    <t>（8）园区驻点服务模式</t>
  </si>
  <si>
    <t>报价方式</t>
  </si>
  <si>
    <t>报价（万/年）</t>
  </si>
  <si>
    <t>成本核算依据</t>
  </si>
  <si>
    <t>客户用定制化软件报价</t>
  </si>
  <si>
    <t>客户定制培训</t>
  </si>
  <si>
    <t>备品备件管理服务</t>
  </si>
  <si>
    <t>A10网络运维服务</t>
  </si>
  <si>
    <t>模式一（按服务收费）</t>
  </si>
  <si>
    <t>基于SLA保障
的包年报价方式</t>
  </si>
  <si>
    <t>基础运维要求（满足SLA基本运维保障要求）</t>
  </si>
  <si>
    <t>VIP级（2小时处理故障）</t>
  </si>
  <si>
    <t>以保证SLA为前提的运维托管服务</t>
  </si>
  <si>
    <t>必备</t>
  </si>
  <si>
    <t>提前3个工作日</t>
  </si>
  <si>
    <t>每周</t>
  </si>
  <si>
    <t>是</t>
  </si>
  <si>
    <t>专家热线（高级专家响应）</t>
  </si>
  <si>
    <t>季度</t>
  </si>
  <si>
    <t>园区驻点团队</t>
  </si>
  <si>
    <t>按设备维保</t>
  </si>
  <si>
    <t>基站设备价格*系数1</t>
  </si>
  <si>
    <t>基站设备价格*30%</t>
  </si>
  <si>
    <t>30%基于现网情况基数</t>
  </si>
  <si>
    <t xml:space="preserve">方式一、按软件接入连接数报方式二、按照软件开发工作量报价。软件向客户报价=软件开发工作量（单位：人工天，按照软件功能点法评估得出）*人工天单价+运营商利润。
</t>
  </si>
  <si>
    <t xml:space="preserve">一事一议
</t>
  </si>
  <si>
    <t xml:space="preserve">三个场景：
场景一：无人仓部署在园区；
场景二：无人仓部署在区域（覆盖多个园区，同时运营商负责派送）；
场景三：备件部署在地市分公司仓库（运营商负责派送）。
场景一：（设备单价的5%-8%）×1.3或1.4
场景二：（设备单价的5%-8%）×1.2
场景三：设备单价的5%-8%×1
</t>
  </si>
  <si>
    <t>按终端连接数</t>
  </si>
  <si>
    <t>每200连接</t>
  </si>
  <si>
    <t>对于内含200个连接，固定报价为285万元/年；对于超出200连接的网络，核心连接按2200元/连接/年计算，非核心连接按550元/连接/年计算。</t>
  </si>
  <si>
    <t>AAA(3小时处理故障）</t>
  </si>
  <si>
    <t>每半月</t>
  </si>
  <si>
    <t>专家热线（专家响应）</t>
  </si>
  <si>
    <t>半年</t>
  </si>
  <si>
    <t>园区驻点团队/类园区驻点团队（片区/网格共享）</t>
  </si>
  <si>
    <t>基站设备价格*系数2</t>
  </si>
  <si>
    <t>基站设备价格*15%</t>
  </si>
  <si>
    <t>15%基于现网情况基数</t>
  </si>
  <si>
    <t>对于内含200个连接，固定报价为150万元/年；对于超出200连接的网络，核心连接按2200元/连接/年计算，非核心连接按550元/连接/年计算。</t>
  </si>
  <si>
    <t>AA(4小时处理故障）</t>
  </si>
  <si>
    <t>每月</t>
  </si>
  <si>
    <t>可选</t>
  </si>
  <si>
    <t>基站设备价格*系数3</t>
  </si>
  <si>
    <t>基站设备价格*13%</t>
  </si>
  <si>
    <t>13%基于现网情况基数</t>
  </si>
  <si>
    <t>对于内含200个连接，固定报价为130万元/年；对于超出200连接的网络，核心连接按2200元/连接/年计算，非核心连接按550元/连接/年计算。</t>
  </si>
  <si>
    <t>A(5小时处理故障）</t>
  </si>
  <si>
    <t>年度</t>
  </si>
  <si>
    <t>基站设备价格*系数4</t>
  </si>
  <si>
    <t>基站设备价格*X10%</t>
  </si>
  <si>
    <t>10%基于现网情况基数</t>
  </si>
  <si>
    <t>对于内含200个连接，固定报价为100万元/年；对于超出200连接的网络，核心连接按2200元/连接/年计算，非核心连接按550元/连接/年计算。</t>
  </si>
  <si>
    <t>普通(6小时处理故障）</t>
  </si>
  <si>
    <t>常规（季度）</t>
  </si>
  <si>
    <t>常规热线</t>
  </si>
  <si>
    <t>/</t>
  </si>
  <si>
    <t>现有监控模式</t>
  </si>
  <si>
    <t>类园区驻点团队（片区/网格共享）/无驻点团队</t>
  </si>
  <si>
    <t>基站设备价格*系数5</t>
  </si>
  <si>
    <t>免费</t>
  </si>
  <si>
    <t>1~2小时处理故障</t>
  </si>
  <si>
    <t>园区轻量级网管+维护团队</t>
  </si>
  <si>
    <t>设备价格*系数4</t>
  </si>
  <si>
    <t>设备价格*20%</t>
  </si>
  <si>
    <t>20%基于现网情况基数</t>
  </si>
  <si>
    <t>对于内含200个连接，固定报价为185万元/年；对于超出200连接的网络，核心连接按0.2万/连接/年计算，非核心连接按0.05万/连接/年计算。</t>
  </si>
  <si>
    <t>服务模式二（产品包）</t>
  </si>
  <si>
    <t>序号</t>
  </si>
  <si>
    <t>计费模式</t>
  </si>
  <si>
    <t>量纲</t>
  </si>
  <si>
    <t>计费级别</t>
  </si>
  <si>
    <t>分类</t>
  </si>
  <si>
    <t>成本核算</t>
  </si>
  <si>
    <t>模式二
产品导向</t>
  </si>
  <si>
    <t>运维基础包</t>
  </si>
  <si>
    <t>建议整体报价</t>
  </si>
  <si>
    <t>网络巡检</t>
  </si>
  <si>
    <t>日常常规巡检（N次）</t>
  </si>
  <si>
    <t>按网络规模</t>
  </si>
  <si>
    <t>按网络规模（大）</t>
  </si>
  <si>
    <t>按照设备维保或连接数计算，
该成本不单独收费</t>
  </si>
  <si>
    <t>监控服务</t>
  </si>
  <si>
    <t>日常监控</t>
  </si>
  <si>
    <t>按网络规模（中）</t>
  </si>
  <si>
    <t>割接告知</t>
  </si>
  <si>
    <t>常规割接</t>
  </si>
  <si>
    <t>按网络规模（小）</t>
  </si>
  <si>
    <t>个性化原子能力</t>
  </si>
  <si>
    <t>选择单个个性化
原子能力叠加报价</t>
  </si>
  <si>
    <t>专属备品备件服务</t>
  </si>
  <si>
    <t>按备品备件类型及数量</t>
  </si>
  <si>
    <t>考虑备品备件类型及数量</t>
  </si>
  <si>
    <t>设备单价的5%-8%</t>
  </si>
  <si>
    <t>园区入驻式专属团队服务</t>
  </si>
  <si>
    <t>按人员数量、配置定价</t>
  </si>
  <si>
    <t>园区设备维护团队：
按驻场人员按级别及人数</t>
  </si>
  <si>
    <t>驻场人员：代维人员/人</t>
  </si>
  <si>
    <t>15万/人年</t>
  </si>
  <si>
    <t>驻场人员：自有人员/人</t>
  </si>
  <si>
    <t>25万/人年</t>
  </si>
  <si>
    <t>驻场人员：三方高级专家/人</t>
  </si>
  <si>
    <t>35万/人年</t>
  </si>
  <si>
    <t>园区轻量级工具维护团队：
按驻场人员人数</t>
  </si>
  <si>
    <t>工具维护驻场人员/人</t>
  </si>
  <si>
    <t>按工具维护人员均价</t>
  </si>
  <si>
    <t>定制化支撑手段</t>
  </si>
  <si>
    <t>软件按类型及定制化需求定制</t>
  </si>
  <si>
    <t>按客户定制化监控需求</t>
  </si>
  <si>
    <t>客户基础信息（开卡量、DNN、套餐、切片等）</t>
  </si>
  <si>
    <t>一事一议</t>
  </si>
  <si>
    <t>客户业务信息（活跃终端数、终端分布及所属小区信息等）</t>
  </si>
  <si>
    <t>网络业务性能指标（接入成功率、接入时延、业务交互成功率、业务交互时延等）</t>
  </si>
  <si>
    <t>按客户定制化其他需求</t>
  </si>
  <si>
    <t>软件：业务端到端拨测系统</t>
  </si>
  <si>
    <t>软件：DPI分析系统</t>
  </si>
  <si>
    <t>软件：轻量化网管系统定制化功能模块，监控定制化终端、交换机、路由器、CPE、基站、传输设备、UPF、MEP等设备信令及告警等功能</t>
  </si>
  <si>
    <t>一事一议（功能模块）</t>
  </si>
  <si>
    <t>专属应急演练</t>
  </si>
  <si>
    <t>按次数</t>
  </si>
  <si>
    <t>按服务种类</t>
  </si>
  <si>
    <t>业务容灾演练/次</t>
  </si>
  <si>
    <t>安全应急演练/次</t>
  </si>
  <si>
    <t>专属培训服务</t>
  </si>
  <si>
    <t>按人天培训</t>
  </si>
  <si>
    <t>按级别及时间</t>
  </si>
  <si>
    <t>高级专家/人天</t>
  </si>
  <si>
    <t>中级专家/人天</t>
  </si>
  <si>
    <t>电话热线和技术支持</t>
  </si>
  <si>
    <t>按级别及次数</t>
  </si>
  <si>
    <t>专家/人次</t>
  </si>
  <si>
    <t>A8、A9、A11服务能力收费量纲设置</t>
  </si>
  <si>
    <t>一级科目</t>
  </si>
  <si>
    <t>二级科目</t>
  </si>
  <si>
    <t>收费场景</t>
  </si>
  <si>
    <t>量纲设置</t>
  </si>
  <si>
    <t>A8：网络设计</t>
  </si>
  <si>
    <t>设计费</t>
  </si>
  <si>
    <t>非标准化或客户有特殊需求的网络设计方案输出。</t>
  </si>
  <si>
    <t xml:space="preserve">面积、基站数量、一次性收费 </t>
  </si>
  <si>
    <t>规划费</t>
  </si>
  <si>
    <t>与项目相关但不在当次项目中完成的后续网络规划工作。</t>
  </si>
  <si>
    <t>面积、基站数量、工程期数、一次性收费</t>
  </si>
  <si>
    <t>A9：网络优化</t>
  </si>
  <si>
    <t>评估费</t>
  </si>
  <si>
    <t>运营阶段客户提出结合客户自身的专项行动等开展针对性评估。</t>
  </si>
  <si>
    <t>面积、人天、评估指标数量、一次性收费</t>
  </si>
  <si>
    <t>专项优化费</t>
  </si>
  <si>
    <t>由于客户厂区改造或设备更新等原因导致的需要对整体网络进行优化调整。</t>
  </si>
  <si>
    <t>面积、人天、一次性收费</t>
  </si>
  <si>
    <t>A11：网络重保</t>
  </si>
  <si>
    <t>重保服务费</t>
  </si>
  <si>
    <t>正常节假日，在移动提供的运维服务以外客户有特殊要求。
由于客户自身活动或生产需要，客户提出重保需求</t>
  </si>
  <si>
    <t xml:space="preserve">人天，场次
</t>
  </si>
  <si>
    <t>A13-网络数字孪生</t>
  </si>
  <si>
    <t>服务产品</t>
  </si>
  <si>
    <t>基础功能</t>
  </si>
  <si>
    <t>额外报价项</t>
  </si>
  <si>
    <t>服务项</t>
  </si>
  <si>
    <t>产品报价</t>
  </si>
  <si>
    <t>第一年</t>
  </si>
  <si>
    <t>第二年起及续签</t>
  </si>
  <si>
    <t>底线折扣</t>
  </si>
  <si>
    <t>（元/月/套）</t>
  </si>
  <si>
    <t>2D数字大屏</t>
  </si>
  <si>
    <t>基础服务</t>
  </si>
  <si>
    <t>各省可自行把控</t>
  </si>
  <si>
    <t xml:space="preserve">/
</t>
  </si>
  <si>
    <t>3D数字大屏</t>
  </si>
  <si>
    <t>基础服务（含设计服务1次、2D图形图表组件6个、3D基本精度模型3个）；（必选）</t>
  </si>
  <si>
    <t xml:space="preserve">每年按照所有服务包费用总和的10%收取。
</t>
  </si>
  <si>
    <t xml:space="preserve">定制服务：根据项目实际需要按照人天进行报价（针对个性化需求提供定制服务，包括现场需求采集、方案设计、2D图形图表与3D模型定制、交互效果与动画定制、数据源接入定制与联调等服务，物联网公司根据客户实际需求评估工作量，进行定制化开发与私有化部署交付）
</t>
  </si>
  <si>
    <t xml:space="preserve">增强服务（含基本精度3D模型1个，如主要设备、主要建筑、辅助建筑、场景、辅助植物植被、地形等，相同模型不重复收费，包括模型搭建、场景调试与数据配置等服务）；（可选）
</t>
  </si>
  <si>
    <t xml:space="preserve">备注：
原则上，省公司按照3D数字大屏基础服务10万元/套、增强服务1.5万元/套向物联网公司进行结算，具体结算价格双方可友好协商确定。
</t>
  </si>
  <si>
    <t>双域专网套餐资费（B2+A2+A3）</t>
  </si>
  <si>
    <t>1、B2双域专网流量</t>
  </si>
  <si>
    <t>2、A2业务隔离</t>
  </si>
  <si>
    <t>3、A3本地业务保障</t>
  </si>
  <si>
    <t>入驻专网套餐资费（B2/3+A4）</t>
  </si>
  <si>
    <t>1、B2 RB无线切片</t>
  </si>
  <si>
    <t>2、B3基站专用</t>
  </si>
  <si>
    <r>
      <rPr>
        <b/>
        <sz val="12"/>
        <color theme="1"/>
        <rFont val="微软雅黑"/>
        <charset val="134"/>
      </rPr>
      <t xml:space="preserve">结合市场需求本次进行资费结构迭代。
</t>
    </r>
    <r>
      <rPr>
        <sz val="12"/>
        <color theme="1"/>
        <rFont val="微软雅黑"/>
        <charset val="134"/>
      </rPr>
      <t>1、目录价为合同期1-3年的价格。续签价格只适用于合同期累计超过3年客户，续签价格与合同期大于3年小于7年的目录价一致。
2、折扣底线3折，如突破底线折扣，根据项目实际效益进行以下决策：
1）低于3折最低折扣，但满足省内ICT管理要求的项目，根据省内ICT项目管理要求审批。
2）低于3折最低折扣，且不满足省内ICT管理要求的项目，严格管控，各省审批通过后，报集团审批。
3、室分设备测算和订购说明：
1）根据厂家提供的室分模型进行成本测算，其中1个BBU最多可以部署3个RRU或32个PRRU；
2）客户在订购RRU设备总数不超过3个，PRRU设备总数不超过32个时，</t>
    </r>
    <r>
      <rPr>
        <sz val="12"/>
        <color rgb="FFFF0000"/>
        <rFont val="微软雅黑"/>
        <charset val="134"/>
      </rPr>
      <t>仅需订购1个首次覆盖服务和相应个数的增强覆盖服务；</t>
    </r>
    <r>
      <rPr>
        <sz val="12"/>
        <color theme="1"/>
        <rFont val="微软雅黑"/>
        <charset val="134"/>
      </rPr>
      <t xml:space="preserve">
3）订购示例：如客户共需订购3个RRU，需订购1个首次覆盖服务+2个增强覆盖服务；如需订购4个RRU，则需订购2个覆盖服务+2个增强覆盖服务。
4、</t>
    </r>
    <r>
      <rPr>
        <sz val="12"/>
        <color rgb="FFFF0000"/>
        <rFont val="微软雅黑"/>
        <charset val="134"/>
      </rPr>
      <t>B3模式下，采用基站锁定限制，不再单独收取流量费。每开一张卡需收取1元/卡/月5G SA专网专用卡功能费；如出限定基站范围，则针对对应卡进行关停。</t>
    </r>
  </si>
  <si>
    <t>3、A4数据不出场</t>
  </si>
  <si>
    <t>4、A4现场应急保障</t>
  </si>
  <si>
    <t xml:space="preserve">备注：
1、设备分为边缘和边缘增强两类，边缘类适用于对服务器性能要求较低、仅使用分流功能的客户，边缘增强类适用于对服务器性能要求较高，有边缘计算、软件部署需求的客户。
2、A4业务需根据UPF+个数计费。
即：订购资费=∑XX带宽UPF目录价*折扣率*XX带宽UPF个数
允许一个客户订购多个不同A2（DNN）业务时，每个DNN对应开通不同带宽规格UPF，订购不同档位的A4资费。
</t>
  </si>
  <si>
    <t>流量（非入驻）专网套餐资费（B2+A3）</t>
  </si>
  <si>
    <t>业务需求输入</t>
  </si>
  <si>
    <t>流量档位（GB/TB）</t>
  </si>
  <si>
    <t>项目使用卡数（张）</t>
  </si>
  <si>
    <t>每卡每月使用天（天）</t>
  </si>
  <si>
    <t>每卡每天使用小时（小时）</t>
  </si>
  <si>
    <t>并发率（%）</t>
  </si>
  <si>
    <t>单卡资费</t>
  </si>
  <si>
    <t>目录价（元/月）</t>
  </si>
  <si>
    <t>折扣（%）</t>
  </si>
  <si>
    <t>折扣后价格</t>
  </si>
  <si>
    <t>流量费</t>
  </si>
  <si>
    <t>流量费目录价=B1定向流量资费</t>
  </si>
  <si>
    <t>UPF带宽分流费</t>
  </si>
  <si>
    <t>合计</t>
  </si>
  <si>
    <t>备注：相关参数仅为示例，后续将上架系统，通过输入基本需求参数、流量档位，由系统自动计算输出专网项目整体报价，并由后台自动展开收入拆分</t>
  </si>
  <si>
    <t>A3档位
（Mbps）</t>
  </si>
  <si>
    <t>A3目录价</t>
  </si>
  <si>
    <t xml:space="preserve">5G快线套餐资费
</t>
  </si>
  <si>
    <t>合作期</t>
  </si>
  <si>
    <t>B1 5G快线套餐包</t>
  </si>
  <si>
    <t>5G快线套餐描述</t>
  </si>
  <si>
    <t>流量单价</t>
  </si>
  <si>
    <t>流量部分总价</t>
  </si>
  <si>
    <t>套餐总价</t>
  </si>
  <si>
    <t>续签价</t>
  </si>
  <si>
    <t>（元/G/月）</t>
  </si>
  <si>
    <t>（元）</t>
  </si>
  <si>
    <t>一年期</t>
  </si>
  <si>
    <t>5G快线300G一年包（通用、定向）</t>
  </si>
  <si>
    <t>5G快线连接服务300G/月，接入Onecyber平台，配套5G网关一台</t>
  </si>
  <si>
    <r>
      <rPr>
        <b/>
        <sz val="12"/>
        <color theme="1"/>
        <rFont val="微软雅黑"/>
        <charset val="134"/>
      </rPr>
      <t>套餐超套限速处理</t>
    </r>
    <r>
      <rPr>
        <sz val="12"/>
        <color theme="1"/>
        <rFont val="微软雅黑"/>
        <charset val="134"/>
      </rPr>
      <t xml:space="preserve">
</t>
    </r>
    <r>
      <rPr>
        <b/>
        <sz val="12"/>
        <color theme="1"/>
        <rFont val="微软雅黑"/>
        <charset val="134"/>
      </rPr>
      <t>300G：</t>
    </r>
    <r>
      <rPr>
        <sz val="12"/>
        <color theme="1"/>
        <rFont val="微软雅黑"/>
        <charset val="134"/>
      </rPr>
      <t xml:space="preserve">单月使用流量达400G，上行、下行带宽限速10M，达1T，上行、下行带宽限速1M
</t>
    </r>
    <r>
      <rPr>
        <b/>
        <sz val="12"/>
        <color theme="1"/>
        <rFont val="微软雅黑"/>
        <charset val="134"/>
      </rPr>
      <t>500G：</t>
    </r>
    <r>
      <rPr>
        <sz val="12"/>
        <color theme="1"/>
        <rFont val="微软雅黑"/>
        <charset val="134"/>
      </rPr>
      <t xml:space="preserve">单月使用流量达600G，上行、下行带宽限速10M，达1T，上行、下行带宽限速1M
</t>
    </r>
    <r>
      <rPr>
        <b/>
        <sz val="12"/>
        <color theme="1"/>
        <rFont val="微软雅黑"/>
        <charset val="134"/>
      </rPr>
      <t>800G：</t>
    </r>
    <r>
      <rPr>
        <sz val="12"/>
        <color theme="1"/>
        <rFont val="微软雅黑"/>
        <charset val="134"/>
      </rPr>
      <t>单月使用流量达900G，上行、下行带宽限速10M，达1T，上行、下行带宽限速1M</t>
    </r>
    <r>
      <rPr>
        <sz val="11"/>
        <color theme="1"/>
        <rFont val="微软雅黑"/>
        <charset val="134"/>
      </rPr>
      <t xml:space="preserve">
</t>
    </r>
  </si>
  <si>
    <t>5G快线500G一年包（通用、定向）</t>
  </si>
  <si>
    <t>5G快线连接服务500G/月，接入Onecyber平台，配套5G网关一台</t>
  </si>
  <si>
    <t>5G快线800G一年包（通用、定向）</t>
  </si>
  <si>
    <t>5G快线连接服务800G/月，接入Onecyber平台，配套5G网关一台</t>
  </si>
  <si>
    <t>两年期</t>
  </si>
  <si>
    <t>5G快线300G两年包（通用、定向）</t>
  </si>
  <si>
    <t>5G快线500G两年包（通用、定向）</t>
  </si>
  <si>
    <t>5G快线800G两年包（通用、定向）</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</si>
</sst>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3" formatCode="_ * #,##0.00_ ;_ * \-#,##0.00_ ;_ * &quot;-&quot;??_ ;_ @_ "/>
    <numFmt numFmtId="176" formatCode="0.0"/>
    <numFmt numFmtId="179" formatCode="0_);[Red]\(0\)"/>
    <numFmt numFmtId="180" formatCode="0.000_ "/>
    <numFmt numFmtId="181" formatCode="0.0000_ "/>
  </numFmts>
  <fonts count="60">
    <font>
      <sz val="11"/>
      <color theme="1"/>
      <name val="等线"/>
      <charset val="134"/>
      <scheme val="minor"/>
    </font>
    <font>
      <b/>
      <sz val="16"/>
      <color theme="1"/>
      <name val="微软雅黑"/>
      <charset val="134"/>
    </font>
    <font>
      <sz val="12"/>
      <color theme="0"/>
      <name val="微软雅黑"/>
      <charset val="134"/>
    </font>
    <font>
      <sz val="12"/>
      <color rgb="FF000000"/>
      <name val="微软雅黑"/>
      <charset val="134"/>
    </font>
    <font>
      <b/>
      <sz val="12"/>
      <color theme="1"/>
      <name val="微软雅黑"/>
      <charset val="134"/>
    </font>
    <font>
      <sz val="11"/>
      <color theme="1"/>
      <name val="微软雅黑"/>
      <charset val="134"/>
    </font>
    <font>
      <b/>
      <sz val="18"/>
      <color theme="1"/>
      <name val="微软雅黑"/>
      <charset val="134"/>
    </font>
    <font>
      <b/>
      <sz val="11"/>
      <color theme="1"/>
      <name val="微软雅黑"/>
      <charset val="134"/>
    </font>
    <font>
      <b/>
      <sz val="12"/>
      <color theme="1"/>
      <name val="等线"/>
      <charset val="134"/>
      <scheme val="minor"/>
    </font>
    <font>
      <sz val="11"/>
      <color rgb="FF000000"/>
      <name val="微软雅黑"/>
      <charset val="134"/>
    </font>
    <font>
      <b/>
      <sz val="13"/>
      <color theme="1"/>
      <name val="微软雅黑"/>
      <charset val="134"/>
    </font>
    <font>
      <b/>
      <sz val="12"/>
      <color rgb="FF000000"/>
      <name val="微软雅黑"/>
      <charset val="134"/>
    </font>
    <font>
      <sz val="12"/>
      <color rgb="FFFF0000"/>
      <name val="微软雅黑"/>
      <charset val="134"/>
    </font>
    <font>
      <b/>
      <sz val="12"/>
      <name val="微软雅黑"/>
      <charset val="134"/>
    </font>
    <font>
      <sz val="12"/>
      <name val="微软雅黑"/>
      <charset val="134"/>
    </font>
    <font>
      <b/>
      <sz val="10"/>
      <name val="微软雅黑"/>
      <charset val="134"/>
    </font>
    <font>
      <sz val="10"/>
      <color rgb="FF000000"/>
      <name val="微软雅黑"/>
      <charset val="134"/>
    </font>
    <font>
      <sz val="10"/>
      <color theme="0"/>
      <name val="微软雅黑"/>
      <charset val="134"/>
    </font>
    <font>
      <b/>
      <sz val="16"/>
      <name val="微软雅黑"/>
      <charset val="134"/>
    </font>
    <font>
      <b/>
      <sz val="14"/>
      <name val="微软雅黑"/>
      <charset val="134"/>
    </font>
    <font>
      <b/>
      <sz val="14"/>
      <color theme="1"/>
      <name val="微软雅黑"/>
      <charset val="134"/>
    </font>
    <font>
      <sz val="14"/>
      <color theme="1"/>
      <name val="微软雅黑"/>
      <charset val="134"/>
    </font>
    <font>
      <b/>
      <sz val="8"/>
      <color rgb="FF000000"/>
      <name val="微软雅黑"/>
      <charset val="134"/>
    </font>
    <font>
      <sz val="12"/>
      <color theme="1"/>
      <name val="微软雅黑"/>
      <charset val="134"/>
    </font>
    <font>
      <b/>
      <sz val="11"/>
      <color rgb="FF000000"/>
      <name val="微软雅黑"/>
      <charset val="134"/>
    </font>
    <font>
      <b/>
      <sz val="10"/>
      <color rgb="FF000000"/>
      <name val="微软雅黑"/>
      <charset val="134"/>
    </font>
    <font>
      <sz val="11"/>
      <name val="等线"/>
      <charset val="134"/>
      <scheme val="minor"/>
    </font>
    <font>
      <b/>
      <sz val="12"/>
      <color theme="0"/>
      <name val="微软雅黑"/>
      <charset val="134"/>
    </font>
    <font>
      <sz val="11"/>
      <name val="微软雅黑"/>
      <charset val="134"/>
    </font>
    <font>
      <sz val="10"/>
      <color theme="1"/>
      <name val="微软雅黑"/>
      <charset val="134"/>
    </font>
    <font>
      <b/>
      <sz val="10"/>
      <color theme="1"/>
      <name val="微软雅黑"/>
      <charset val="134"/>
    </font>
    <font>
      <sz val="10"/>
      <name val="微软雅黑"/>
      <charset val="134"/>
    </font>
    <font>
      <sz val="10"/>
      <color theme="1"/>
      <name val="等线"/>
      <charset val="134"/>
      <scheme val="minor"/>
    </font>
    <font>
      <sz val="22"/>
      <color rgb="FF0270BD"/>
      <name val="微软雅黑"/>
      <charset val="134"/>
    </font>
    <font>
      <b/>
      <sz val="12"/>
      <color rgb="FF5082BE"/>
      <name val="微软雅黑"/>
      <charset val="134"/>
    </font>
    <font>
      <sz val="12"/>
      <color rgb="FFFFFFFF"/>
      <name val="微软雅黑"/>
      <charset val="134"/>
    </font>
    <font>
      <b/>
      <sz val="11"/>
      <color theme="1"/>
      <name val="等线"/>
      <charset val="134"/>
      <scheme val="minor"/>
    </font>
    <font>
      <b/>
      <sz val="14"/>
      <color rgb="FF000000"/>
      <name val="微软雅黑"/>
      <charset val="134"/>
    </font>
    <font>
      <sz val="14"/>
      <color rgb="FF000000"/>
      <name val="微软雅黑"/>
      <charset val="134"/>
    </font>
    <font>
      <b/>
      <sz val="16"/>
      <color theme="0"/>
      <name val="微软雅黑"/>
      <charset val="134"/>
    </font>
    <font>
      <sz val="12"/>
      <name val="Arial"/>
      <family val="2"/>
    </font>
    <font>
      <b/>
      <sz val="14"/>
      <color rgb="FFFF0000"/>
      <name val="微软雅黑"/>
      <charset val="134"/>
    </font>
    <font>
      <b/>
      <sz val="14"/>
      <color theme="8" tint="-0.249977111117893"/>
      <name val="微软雅黑"/>
      <charset val="134"/>
    </font>
    <font>
      <b/>
      <sz val="14"/>
      <color theme="0"/>
      <name val="微软雅黑"/>
      <charset val="134"/>
    </font>
    <font>
      <b/>
      <u/>
      <sz val="12"/>
      <color theme="8"/>
      <name val="微软雅黑"/>
      <charset val="134"/>
    </font>
    <font>
      <b/>
      <u/>
      <sz val="12"/>
      <color theme="9" tint="-0.249977111117893"/>
      <name val="Microsoft YaHei"/>
      <charset val="134"/>
    </font>
    <font>
      <b/>
      <sz val="12"/>
      <color theme="8"/>
      <name val="Microsoft YaHei"/>
      <charset val="134"/>
    </font>
    <font>
      <b/>
      <u/>
      <sz val="12"/>
      <color theme="9" tint="-0.249977111117893"/>
      <name val="微软雅黑"/>
      <charset val="134"/>
    </font>
    <font>
      <b/>
      <sz val="12"/>
      <color theme="9" tint="-0.249977111117893"/>
      <name val="微软雅黑"/>
      <charset val="134"/>
    </font>
    <font>
      <b/>
      <sz val="12"/>
      <color theme="8"/>
      <name val="微软雅黑"/>
      <charset val="134"/>
    </font>
    <font>
      <b/>
      <u/>
      <sz val="12"/>
      <color theme="8"/>
      <name val="Microsoft YaHei"/>
      <charset val="134"/>
    </font>
    <font>
      <sz val="11"/>
      <color theme="1"/>
      <name val="等线"/>
      <charset val="134"/>
      <scheme val="minor"/>
    </font>
    <font>
      <sz val="11"/>
      <color rgb="FFFF0000"/>
      <name val="等线"/>
      <charset val="134"/>
      <scheme val="minor"/>
    </font>
    <font>
      <u/>
      <sz val="11"/>
      <color theme="10"/>
      <name val="等线"/>
      <charset val="134"/>
    </font>
    <font>
      <sz val="10"/>
      <color rgb="FF000000"/>
      <name val="Arial"/>
      <family val="2"/>
    </font>
    <font>
      <b/>
      <sz val="12"/>
      <color rgb="FFFF0000"/>
      <name val="微软雅黑"/>
      <charset val="134"/>
    </font>
    <font>
      <b/>
      <sz val="9"/>
      <name val="Tahoma"/>
      <family val="2"/>
    </font>
    <font>
      <sz val="9"/>
      <name val="Tahoma"/>
      <family val="2"/>
    </font>
    <font>
      <sz val="9"/>
      <name val="宋体"/>
      <charset val="134"/>
    </font>
    <font>
      <sz val="9"/>
      <name val="等线"/>
      <family val="3"/>
      <charset val="134"/>
      <scheme val="minor"/>
    </font>
  </fonts>
  <fills count="25">
    <fill>
      <patternFill patternType="none"/>
    </fill>
    <fill>
      <patternFill patternType="gray125"/>
    </fill>
    <fill>
      <patternFill patternType="solid">
        <fgColor theme="7"/>
        <bgColor indexed="64"/>
      </patternFill>
    </fill>
    <fill>
      <patternFill patternType="solid">
        <fgColor theme="4"/>
        <bgColor indexed="64"/>
      </patternFill>
    </fill>
    <fill>
      <patternFill patternType="solid">
        <fgColor rgb="FFFFFF00"/>
        <bgColor indexed="64"/>
      </patternFill>
    </fill>
    <fill>
      <patternFill patternType="solid">
        <fgColor theme="0"/>
        <bgColor indexed="64"/>
      </patternFill>
    </fill>
    <fill>
      <patternFill patternType="solid">
        <fgColor theme="4" tint="0.59999389629810485"/>
        <bgColor indexed="64"/>
      </patternFill>
    </fill>
    <fill>
      <patternFill patternType="solid">
        <fgColor theme="4" tint="0.39991454817346722"/>
        <bgColor indexed="64"/>
      </patternFill>
    </fill>
    <fill>
      <patternFill patternType="solid">
        <fgColor theme="4" tint="0.39988402966399123"/>
        <bgColor indexed="64"/>
      </patternFill>
    </fill>
    <fill>
      <patternFill patternType="solid">
        <fgColor theme="0" tint="-0.14993743705557422"/>
        <bgColor indexed="64"/>
      </patternFill>
    </fill>
    <fill>
      <patternFill patternType="solid">
        <fgColor rgb="FF5082BE"/>
        <bgColor indexed="64"/>
      </patternFill>
    </fill>
    <fill>
      <patternFill patternType="solid">
        <fgColor rgb="FFB4D2E6"/>
        <bgColor indexed="64"/>
      </patternFill>
    </fill>
    <fill>
      <patternFill patternType="solid">
        <fgColor theme="4" tint="0.39994506668294322"/>
        <bgColor indexed="64"/>
      </patternFill>
    </fill>
    <fill>
      <patternFill patternType="solid">
        <fgColor theme="9" tint="0.59999389629810485"/>
        <bgColor indexed="64"/>
      </patternFill>
    </fill>
    <fill>
      <patternFill patternType="solid">
        <fgColor theme="2"/>
        <bgColor indexed="64"/>
      </patternFill>
    </fill>
    <fill>
      <patternFill patternType="solid">
        <fgColor rgb="FFEEECE1"/>
        <bgColor indexed="64"/>
      </patternFill>
    </fill>
    <fill>
      <patternFill patternType="solid">
        <fgColor theme="9" tint="0.79989013336588644"/>
        <bgColor indexed="64"/>
      </patternFill>
    </fill>
    <fill>
      <patternFill patternType="solid">
        <fgColor theme="4" tint="0.39997558519241921"/>
        <bgColor indexed="64"/>
      </patternFill>
    </fill>
    <fill>
      <patternFill patternType="solid">
        <fgColor rgb="FFFFC000"/>
        <bgColor indexed="64"/>
      </patternFill>
    </fill>
    <fill>
      <patternFill patternType="solid">
        <fgColor rgb="FFFFFFFF"/>
        <bgColor indexed="64"/>
      </patternFill>
    </fill>
    <fill>
      <patternFill patternType="solid">
        <fgColor theme="4" tint="0.79985961485641044"/>
        <bgColor indexed="64"/>
      </patternFill>
    </fill>
    <fill>
      <patternFill patternType="solid">
        <fgColor theme="9" tint="0.79985961485641044"/>
        <bgColor indexed="64"/>
      </patternFill>
    </fill>
    <fill>
      <patternFill patternType="solid">
        <fgColor theme="5" tint="0.79985961485641044"/>
        <bgColor indexed="64"/>
      </patternFill>
    </fill>
    <fill>
      <patternFill patternType="solid">
        <fgColor theme="9" tint="0.79992065187536243"/>
        <bgColor indexed="64"/>
      </patternFill>
    </fill>
    <fill>
      <patternFill patternType="solid">
        <fgColor theme="4" tint="0.79989013336588644"/>
        <bgColor indexed="64"/>
      </patternFill>
    </fill>
  </fills>
  <borders count="94">
    <border>
      <left/>
      <right/>
      <top/>
      <bottom/>
      <diagonal/>
    </border>
    <border>
      <left style="medium">
        <color auto="1"/>
      </left>
      <right/>
      <top/>
      <bottom style="thin">
        <color auto="1"/>
      </bottom>
      <diagonal/>
    </border>
    <border>
      <left/>
      <right/>
      <top/>
      <bottom style="thin">
        <color auto="1"/>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top style="thin">
        <color auto="1"/>
      </top>
      <bottom style="medium">
        <color auto="1"/>
      </bottom>
      <diagonal/>
    </border>
    <border>
      <left/>
      <right style="medium">
        <color auto="1"/>
      </right>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bottom/>
      <diagonal/>
    </border>
    <border>
      <left style="thin">
        <color auto="1"/>
      </left>
      <right style="medium">
        <color auto="1"/>
      </right>
      <top/>
      <bottom style="medium">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medium">
        <color auto="1"/>
      </bottom>
      <diagonal/>
    </border>
    <border>
      <left/>
      <right style="medium">
        <color auto="1"/>
      </right>
      <top style="medium">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style="medium">
        <color auto="1"/>
      </right>
      <top style="thin">
        <color auto="1"/>
      </top>
      <bottom style="medium">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medium">
        <color auto="1"/>
      </left>
      <right/>
      <top style="medium">
        <color auto="1"/>
      </top>
      <bottom/>
      <diagonal/>
    </border>
    <border>
      <left/>
      <right/>
      <top style="medium">
        <color auto="1"/>
      </top>
      <bottom/>
      <diagonal/>
    </border>
    <border>
      <left style="medium">
        <color auto="1"/>
      </left>
      <right/>
      <top/>
      <bottom style="medium">
        <color auto="1"/>
      </bottom>
      <diagonal/>
    </border>
    <border>
      <left/>
      <right/>
      <top/>
      <bottom style="medium">
        <color auto="1"/>
      </bottom>
      <diagonal/>
    </border>
    <border>
      <left/>
      <right style="thin">
        <color auto="1"/>
      </right>
      <top style="medium">
        <color auto="1"/>
      </top>
      <bottom style="thin">
        <color auto="1"/>
      </bottom>
      <diagonal/>
    </border>
    <border>
      <left/>
      <right style="thin">
        <color auto="1"/>
      </right>
      <top style="thin">
        <color auto="1"/>
      </top>
      <bottom style="thin">
        <color auto="1"/>
      </bottom>
      <diagonal/>
    </border>
    <border>
      <left style="medium">
        <color auto="1"/>
      </left>
      <right style="thin">
        <color auto="1"/>
      </right>
      <top/>
      <bottom/>
      <diagonal/>
    </border>
    <border>
      <left style="medium">
        <color auto="1"/>
      </left>
      <right/>
      <top style="thin">
        <color auto="1"/>
      </top>
      <bottom/>
      <diagonal/>
    </border>
    <border>
      <left/>
      <right/>
      <top style="thin">
        <color auto="1"/>
      </top>
      <bottom/>
      <diagonal/>
    </border>
    <border>
      <left/>
      <right style="medium">
        <color auto="1"/>
      </right>
      <top style="thin">
        <color auto="1"/>
      </top>
      <bottom/>
      <diagonal/>
    </border>
    <border>
      <left style="medium">
        <color auto="1"/>
      </left>
      <right/>
      <top/>
      <bottom/>
      <diagonal/>
    </border>
    <border>
      <left/>
      <right style="medium">
        <color auto="1"/>
      </right>
      <top/>
      <bottom/>
      <diagonal/>
    </border>
    <border>
      <left style="thin">
        <color auto="1"/>
      </left>
      <right style="medium">
        <color auto="1"/>
      </right>
      <top style="thin">
        <color auto="1"/>
      </top>
      <bottom/>
      <diagonal/>
    </border>
    <border>
      <left/>
      <right style="medium">
        <color auto="1"/>
      </right>
      <top style="medium">
        <color auto="1"/>
      </top>
      <bottom/>
      <diagonal/>
    </border>
    <border>
      <left/>
      <right style="medium">
        <color auto="1"/>
      </right>
      <top/>
      <bottom style="medium">
        <color auto="1"/>
      </bottom>
      <diagonal/>
    </border>
    <border>
      <left style="medium">
        <color auto="1"/>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auto="1"/>
      </right>
      <top style="thin">
        <color rgb="FF000000"/>
      </top>
      <bottom style="thin">
        <color rgb="FF000000"/>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medium">
        <color rgb="FF000000"/>
      </bottom>
      <diagonal/>
    </border>
    <border>
      <left style="medium">
        <color rgb="FF000000"/>
      </left>
      <right style="medium">
        <color rgb="FF000000"/>
      </right>
      <top style="medium">
        <color rgb="FF000000"/>
      </top>
      <bottom style="medium">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auto="1"/>
      </left>
      <right style="thin">
        <color auto="1"/>
      </right>
      <top/>
      <bottom/>
      <diagonal/>
    </border>
    <border>
      <left style="thin">
        <color rgb="FF000000"/>
      </left>
      <right/>
      <top/>
      <bottom style="thin">
        <color rgb="FF000000"/>
      </bottom>
      <diagonal/>
    </border>
    <border>
      <left/>
      <right/>
      <top/>
      <bottom style="thin">
        <color rgb="FF000000"/>
      </bottom>
      <diagonal/>
    </border>
    <border>
      <left style="thin">
        <color auto="1"/>
      </left>
      <right style="medium">
        <color auto="1"/>
      </right>
      <top/>
      <bottom style="thin">
        <color auto="1"/>
      </bottom>
      <diagonal/>
    </border>
    <border>
      <left style="medium">
        <color auto="1"/>
      </left>
      <right style="medium">
        <color auto="1"/>
      </right>
      <top style="medium">
        <color auto="1"/>
      </top>
      <bottom/>
      <diagonal/>
    </border>
    <border>
      <left/>
      <right style="thin">
        <color rgb="FF000000"/>
      </right>
      <top style="medium">
        <color auto="1"/>
      </top>
      <bottom style="thin">
        <color rgb="FF000000"/>
      </bottom>
      <diagonal/>
    </border>
    <border>
      <left style="thin">
        <color rgb="FF000000"/>
      </left>
      <right style="thin">
        <color rgb="FF000000"/>
      </right>
      <top style="medium">
        <color auto="1"/>
      </top>
      <bottom style="thin">
        <color rgb="FF000000"/>
      </bottom>
      <diagonal/>
    </border>
    <border>
      <left style="medium">
        <color auto="1"/>
      </left>
      <right style="medium">
        <color auto="1"/>
      </right>
      <top/>
      <bottom/>
      <diagonal/>
    </border>
    <border>
      <left/>
      <right style="thin">
        <color rgb="FF000000"/>
      </right>
      <top style="thin">
        <color rgb="FF000000"/>
      </top>
      <bottom style="thin">
        <color rgb="FF000000"/>
      </bottom>
      <diagonal/>
    </border>
    <border>
      <left/>
      <right style="thin">
        <color rgb="FF000000"/>
      </right>
      <top style="thin">
        <color rgb="FF000000"/>
      </top>
      <bottom style="medium">
        <color auto="1"/>
      </bottom>
      <diagonal/>
    </border>
    <border>
      <left style="thin">
        <color rgb="FF000000"/>
      </left>
      <right style="thin">
        <color rgb="FF000000"/>
      </right>
      <top style="thin">
        <color rgb="FF000000"/>
      </top>
      <bottom style="medium">
        <color auto="1"/>
      </bottom>
      <diagonal/>
    </border>
    <border>
      <left style="medium">
        <color auto="1"/>
      </left>
      <right style="medium">
        <color auto="1"/>
      </right>
      <top/>
      <bottom style="medium">
        <color auto="1"/>
      </bottom>
      <diagonal/>
    </border>
    <border>
      <left style="thin">
        <color auto="1"/>
      </left>
      <right/>
      <top/>
      <bottom/>
      <diagonal/>
    </border>
    <border>
      <left style="thin">
        <color rgb="FF000000"/>
      </left>
      <right style="medium">
        <color auto="1"/>
      </right>
      <top style="medium">
        <color auto="1"/>
      </top>
      <bottom style="thin">
        <color rgb="FF000000"/>
      </bottom>
      <diagonal/>
    </border>
    <border>
      <left style="thin">
        <color rgb="FF000000"/>
      </left>
      <right style="medium">
        <color auto="1"/>
      </right>
      <top style="thin">
        <color rgb="FF000000"/>
      </top>
      <bottom style="medium">
        <color auto="1"/>
      </bottom>
      <diagonal/>
    </border>
    <border>
      <left/>
      <right style="thin">
        <color auto="1"/>
      </right>
      <top style="thin">
        <color auto="1"/>
      </top>
      <bottom style="medium">
        <color auto="1"/>
      </bottom>
      <diagonal/>
    </border>
    <border>
      <left style="thin">
        <color auto="1"/>
      </left>
      <right/>
      <top style="medium">
        <color auto="1"/>
      </top>
      <bottom/>
      <diagonal/>
    </border>
    <border>
      <left style="thin">
        <color rgb="FF000000"/>
      </left>
      <right style="thin">
        <color rgb="FF000000"/>
      </right>
      <top style="thin">
        <color auto="1"/>
      </top>
      <bottom/>
      <diagonal/>
    </border>
    <border>
      <left style="thin">
        <color rgb="FF000000"/>
      </left>
      <right/>
      <top style="thin">
        <color auto="1"/>
      </top>
      <bottom style="thin">
        <color rgb="FF000000"/>
      </bottom>
      <diagonal/>
    </border>
    <border>
      <left/>
      <right style="thin">
        <color rgb="FF000000"/>
      </right>
      <top style="thin">
        <color auto="1"/>
      </top>
      <bottom style="thin">
        <color rgb="FF000000"/>
      </bottom>
      <diagonal/>
    </border>
    <border>
      <left style="thin">
        <color rgb="FF000000"/>
      </left>
      <right style="thin">
        <color rgb="FF000000"/>
      </right>
      <top/>
      <bottom/>
      <diagonal/>
    </border>
    <border>
      <left/>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rgb="FF000000"/>
      </left>
      <right style="medium">
        <color rgb="FF000000"/>
      </right>
      <top/>
      <bottom/>
      <diagonal/>
    </border>
    <border>
      <left style="medium">
        <color rgb="FF000000"/>
      </left>
      <right/>
      <top/>
      <bottom style="medium">
        <color rgb="FF000000"/>
      </bottom>
      <diagonal/>
    </border>
    <border>
      <left/>
      <right style="medium">
        <color rgb="FF000000"/>
      </right>
      <top/>
      <bottom style="medium">
        <color rgb="FF000000"/>
      </bottom>
      <diagonal/>
    </border>
    <border>
      <left style="medium">
        <color rgb="FF000000"/>
      </left>
      <right style="medium">
        <color rgb="FF000000"/>
      </right>
      <top/>
      <bottom style="medium">
        <color rgb="FF000000"/>
      </bottom>
      <diagonal/>
    </border>
    <border>
      <left style="medium">
        <color rgb="FF000000"/>
      </left>
      <right style="medium">
        <color rgb="FF000000"/>
      </right>
      <top style="medium">
        <color rgb="FF000000"/>
      </top>
      <bottom/>
      <diagonal/>
    </border>
    <border>
      <left style="medium">
        <color auto="1"/>
      </left>
      <right style="thin">
        <color rgb="FF000000"/>
      </right>
      <top style="medium">
        <color auto="1"/>
      </top>
      <bottom style="thin">
        <color rgb="FF000000"/>
      </bottom>
      <diagonal/>
    </border>
  </borders>
  <cellStyleXfs count="8">
    <xf numFmtId="0" fontId="0" fillId="0" borderId="0"/>
    <xf numFmtId="43" fontId="51" fillId="0" borderId="0" applyFont="0" applyFill="0" applyBorder="0" applyAlignment="0" applyProtection="0">
      <alignment vertical="center"/>
    </xf>
    <xf numFmtId="0" fontId="53" fillId="0" borderId="0" applyNumberFormat="0" applyFill="0" applyBorder="0" applyAlignment="0" applyProtection="0">
      <alignment vertical="top"/>
      <protection locked="0"/>
    </xf>
    <xf numFmtId="9" fontId="51" fillId="0" borderId="0" applyFont="0" applyFill="0" applyBorder="0" applyAlignment="0" applyProtection="0">
      <alignment vertical="center"/>
    </xf>
    <xf numFmtId="0" fontId="51" fillId="0" borderId="0">
      <alignment vertical="center"/>
    </xf>
    <xf numFmtId="0" fontId="51" fillId="0" borderId="0"/>
    <xf numFmtId="0" fontId="51" fillId="0" borderId="0">
      <alignment vertical="center"/>
    </xf>
    <xf numFmtId="0" fontId="51" fillId="0" borderId="0"/>
  </cellStyleXfs>
  <cellXfs count="499">
    <xf numFmtId="0" fontId="0" fillId="0" borderId="0" xfId="0"/>
    <xf numFmtId="0" fontId="2" fillId="3" borderId="4" xfId="0" applyFont="1" applyFill="1" applyBorder="1" applyAlignment="1">
      <alignment horizontal="center" vertical="center" wrapText="1" readingOrder="1"/>
    </xf>
    <xf numFmtId="0" fontId="3" fillId="0" borderId="6" xfId="0" applyFont="1" applyBorder="1" applyAlignment="1">
      <alignment vertical="center" wrapText="1"/>
    </xf>
    <xf numFmtId="0" fontId="3" fillId="0" borderId="6" xfId="0" applyFont="1" applyBorder="1" applyAlignment="1">
      <alignment horizontal="center" vertical="center" wrapText="1"/>
    </xf>
    <xf numFmtId="0" fontId="3" fillId="0" borderId="7" xfId="0" applyFont="1" applyBorder="1" applyAlignment="1">
      <alignment horizontal="center" vertical="center" wrapText="1"/>
    </xf>
    <xf numFmtId="0" fontId="3" fillId="0" borderId="4" xfId="0" applyFont="1" applyBorder="1" applyAlignment="1">
      <alignment vertical="center" wrapText="1"/>
    </xf>
    <xf numFmtId="0" fontId="3" fillId="0" borderId="4" xfId="0" applyFont="1" applyBorder="1" applyAlignment="1">
      <alignment horizontal="center" vertical="center" wrapText="1"/>
    </xf>
    <xf numFmtId="0" fontId="3" fillId="0" borderId="8" xfId="0" applyFont="1" applyBorder="1" applyAlignment="1">
      <alignment horizontal="center" vertical="center" wrapText="1"/>
    </xf>
    <xf numFmtId="0" fontId="3" fillId="0" borderId="10" xfId="0" applyFont="1" applyBorder="1" applyAlignment="1">
      <alignment vertical="center" wrapText="1"/>
    </xf>
    <xf numFmtId="0" fontId="3" fillId="0" borderId="10" xfId="0" applyFont="1" applyBorder="1" applyAlignment="1">
      <alignment horizontal="center" vertical="center" wrapText="1"/>
    </xf>
    <xf numFmtId="0" fontId="3" fillId="0" borderId="11" xfId="0" applyFont="1" applyBorder="1" applyAlignment="1">
      <alignment horizontal="center" vertical="center" wrapText="1"/>
    </xf>
    <xf numFmtId="0" fontId="0" fillId="0" borderId="0" xfId="0" applyFill="1" applyAlignment="1">
      <alignment vertical="center"/>
    </xf>
    <xf numFmtId="0" fontId="6" fillId="0" borderId="0" xfId="0" applyFont="1" applyFill="1" applyAlignment="1">
      <alignment horizontal="center" vertical="center" wrapText="1"/>
    </xf>
    <xf numFmtId="0" fontId="7" fillId="0" borderId="9" xfId="0" applyFont="1" applyFill="1" applyBorder="1" applyAlignment="1">
      <alignment horizontal="center" vertical="center"/>
    </xf>
    <xf numFmtId="0" fontId="5" fillId="0" borderId="10" xfId="0" applyFont="1" applyFill="1" applyBorder="1" applyAlignment="1">
      <alignment horizontal="center" vertical="center"/>
    </xf>
    <xf numFmtId="0" fontId="7" fillId="0" borderId="10" xfId="0" applyFont="1" applyFill="1" applyBorder="1" applyAlignment="1">
      <alignment horizontal="center" vertical="center"/>
    </xf>
    <xf numFmtId="0" fontId="7" fillId="0" borderId="10" xfId="0" applyFont="1" applyFill="1" applyBorder="1" applyAlignment="1">
      <alignment horizontal="center" vertical="center" wrapText="1"/>
    </xf>
    <xf numFmtId="0" fontId="4" fillId="5" borderId="18" xfId="0" applyFont="1" applyFill="1" applyBorder="1" applyAlignment="1">
      <alignment horizontal="center"/>
    </xf>
    <xf numFmtId="0" fontId="4" fillId="5" borderId="19" xfId="0" applyFont="1" applyFill="1" applyBorder="1" applyAlignment="1">
      <alignment horizontal="center"/>
    </xf>
    <xf numFmtId="0" fontId="8" fillId="0" borderId="20" xfId="0" applyFont="1" applyFill="1" applyBorder="1" applyAlignment="1">
      <alignment horizontal="center" vertical="center"/>
    </xf>
    <xf numFmtId="0" fontId="7" fillId="5" borderId="3" xfId="0" applyFont="1" applyFill="1" applyBorder="1" applyAlignment="1">
      <alignment horizontal="center" vertical="center" wrapText="1"/>
    </xf>
    <xf numFmtId="176" fontId="5" fillId="5" borderId="4" xfId="0" applyNumberFormat="1" applyFont="1" applyFill="1" applyBorder="1" applyAlignment="1">
      <alignment horizontal="center"/>
    </xf>
    <xf numFmtId="0" fontId="5" fillId="0" borderId="4" xfId="0" applyFont="1" applyFill="1" applyBorder="1" applyAlignment="1">
      <alignment horizontal="center" vertical="center"/>
    </xf>
    <xf numFmtId="0" fontId="5" fillId="0" borderId="13" xfId="0" applyFont="1" applyFill="1" applyBorder="1" applyAlignment="1">
      <alignment horizontal="center" vertical="center"/>
    </xf>
    <xf numFmtId="0" fontId="7" fillId="5" borderId="9" xfId="0" applyFont="1" applyFill="1" applyBorder="1" applyAlignment="1">
      <alignment horizontal="center" vertical="center"/>
    </xf>
    <xf numFmtId="0" fontId="5" fillId="6" borderId="10" xfId="0" applyFont="1" applyFill="1" applyBorder="1" applyAlignment="1">
      <alignment horizontal="center" vertical="center"/>
    </xf>
    <xf numFmtId="0" fontId="5" fillId="6" borderId="21" xfId="0" applyFont="1" applyFill="1" applyBorder="1" applyAlignment="1">
      <alignment horizontal="center" vertical="center"/>
    </xf>
    <xf numFmtId="0" fontId="5" fillId="0" borderId="0" xfId="0" applyFont="1" applyFill="1" applyAlignment="1"/>
    <xf numFmtId="0" fontId="0" fillId="0" borderId="0" xfId="0" applyFill="1" applyAlignment="1">
      <alignment horizontal="left" vertical="center"/>
    </xf>
    <xf numFmtId="0" fontId="5" fillId="0" borderId="18" xfId="0" applyFont="1" applyFill="1" applyBorder="1" applyAlignment="1">
      <alignment horizontal="center" vertical="center" wrapText="1"/>
    </xf>
    <xf numFmtId="0" fontId="5" fillId="0" borderId="20" xfId="0" applyFont="1" applyFill="1" applyBorder="1" applyAlignment="1">
      <alignment horizontal="center" vertical="center"/>
    </xf>
    <xf numFmtId="0" fontId="5" fillId="0" borderId="3" xfId="0" applyFont="1" applyFill="1" applyBorder="1" applyAlignment="1">
      <alignment horizontal="center" vertical="center"/>
    </xf>
    <xf numFmtId="180" fontId="5" fillId="0" borderId="13" xfId="0" applyNumberFormat="1" applyFont="1" applyFill="1" applyBorder="1" applyAlignment="1">
      <alignment horizontal="center" vertical="center"/>
    </xf>
    <xf numFmtId="181" fontId="0" fillId="0" borderId="0" xfId="0" applyNumberFormat="1" applyFill="1" applyAlignment="1">
      <alignment vertical="center"/>
    </xf>
    <xf numFmtId="0" fontId="9" fillId="0" borderId="3" xfId="7" applyFont="1" applyBorder="1" applyAlignment="1">
      <alignment horizontal="center" vertical="center" wrapText="1" readingOrder="1"/>
    </xf>
    <xf numFmtId="0" fontId="9" fillId="0" borderId="9" xfId="7" applyFont="1" applyBorder="1" applyAlignment="1">
      <alignment horizontal="center" vertical="center" wrapText="1" readingOrder="1"/>
    </xf>
    <xf numFmtId="180" fontId="5" fillId="0" borderId="21" xfId="0" applyNumberFormat="1" applyFont="1" applyFill="1" applyBorder="1" applyAlignment="1">
      <alignment horizontal="center" vertical="center"/>
    </xf>
    <xf numFmtId="0" fontId="6" fillId="0" borderId="0" xfId="0" applyFont="1" applyFill="1" applyAlignment="1">
      <alignment vertical="center" wrapText="1"/>
    </xf>
    <xf numFmtId="0" fontId="5" fillId="0" borderId="10" xfId="0" applyFont="1" applyFill="1" applyBorder="1" applyAlignment="1">
      <alignment horizontal="center" vertical="center" wrapText="1"/>
    </xf>
    <xf numFmtId="9" fontId="5" fillId="0" borderId="21" xfId="0" applyNumberFormat="1" applyFont="1" applyFill="1" applyBorder="1" applyAlignment="1">
      <alignment horizontal="center" vertical="center"/>
    </xf>
    <xf numFmtId="0" fontId="51" fillId="0" borderId="0" xfId="4" applyAlignment="1">
      <alignment vertical="center"/>
    </xf>
    <xf numFmtId="0" fontId="51" fillId="0" borderId="0" xfId="4">
      <alignment vertical="center"/>
    </xf>
    <xf numFmtId="0" fontId="1" fillId="0" borderId="0" xfId="4" applyFont="1">
      <alignment vertical="center"/>
    </xf>
    <xf numFmtId="0" fontId="10" fillId="7" borderId="3" xfId="4" applyFont="1" applyFill="1" applyBorder="1" applyAlignment="1">
      <alignment horizontal="center" vertical="center"/>
    </xf>
    <xf numFmtId="0" fontId="4" fillId="0" borderId="4" xfId="4" applyFont="1" applyFill="1" applyBorder="1" applyAlignment="1">
      <alignment horizontal="center" vertical="center"/>
    </xf>
    <xf numFmtId="0" fontId="4" fillId="0" borderId="13" xfId="4" applyFont="1" applyFill="1" applyBorder="1" applyAlignment="1">
      <alignment horizontal="center" vertical="center"/>
    </xf>
    <xf numFmtId="0" fontId="11" fillId="8" borderId="3" xfId="0" applyFont="1" applyFill="1" applyBorder="1" applyAlignment="1">
      <alignment horizontal="center" vertical="center" wrapText="1" readingOrder="1"/>
    </xf>
    <xf numFmtId="0" fontId="12" fillId="0" borderId="4" xfId="0" applyFont="1" applyFill="1" applyBorder="1" applyAlignment="1">
      <alignment horizontal="center" vertical="center" wrapText="1" readingOrder="1"/>
    </xf>
    <xf numFmtId="0" fontId="12" fillId="0" borderId="13" xfId="0" applyFont="1" applyFill="1" applyBorder="1" applyAlignment="1">
      <alignment horizontal="center" vertical="center" wrapText="1" readingOrder="1"/>
    </xf>
    <xf numFmtId="0" fontId="3" fillId="0" borderId="4" xfId="0" applyFont="1" applyFill="1" applyBorder="1" applyAlignment="1">
      <alignment horizontal="center" vertical="center" wrapText="1" readingOrder="1"/>
    </xf>
    <xf numFmtId="0" fontId="3" fillId="0" borderId="13" xfId="0" applyFont="1" applyFill="1" applyBorder="1" applyAlignment="1">
      <alignment horizontal="center" vertical="center" wrapText="1" readingOrder="1"/>
    </xf>
    <xf numFmtId="9" fontId="11" fillId="9" borderId="4" xfId="0" applyNumberFormat="1" applyFont="1" applyFill="1" applyBorder="1" applyAlignment="1">
      <alignment horizontal="center" vertical="center" wrapText="1" readingOrder="1"/>
    </xf>
    <xf numFmtId="9" fontId="11" fillId="0" borderId="4" xfId="0" applyNumberFormat="1" applyFont="1" applyBorder="1" applyAlignment="1">
      <alignment horizontal="center" vertical="center" wrapText="1" readingOrder="1"/>
    </xf>
    <xf numFmtId="9" fontId="11" fillId="0" borderId="13" xfId="0" applyNumberFormat="1" applyFont="1" applyBorder="1" applyAlignment="1">
      <alignment horizontal="center" vertical="center" wrapText="1" readingOrder="1"/>
    </xf>
    <xf numFmtId="0" fontId="12" fillId="9" borderId="4" xfId="0" applyFont="1" applyFill="1" applyBorder="1" applyAlignment="1">
      <alignment horizontal="center" vertical="center" wrapText="1" readingOrder="1"/>
    </xf>
    <xf numFmtId="0" fontId="12" fillId="0" borderId="4" xfId="0" applyFont="1" applyBorder="1" applyAlignment="1">
      <alignment horizontal="center" vertical="center" wrapText="1" readingOrder="1"/>
    </xf>
    <xf numFmtId="0" fontId="12" fillId="0" borderId="13" xfId="0" applyFont="1" applyBorder="1" applyAlignment="1">
      <alignment horizontal="center" vertical="center" wrapText="1" readingOrder="1"/>
    </xf>
    <xf numFmtId="0" fontId="3" fillId="9" borderId="4" xfId="0" applyFont="1" applyFill="1" applyBorder="1" applyAlignment="1">
      <alignment horizontal="center" vertical="center" wrapText="1" readingOrder="1"/>
    </xf>
    <xf numFmtId="0" fontId="3" fillId="0" borderId="4" xfId="0" applyFont="1" applyBorder="1" applyAlignment="1">
      <alignment horizontal="center" vertical="center" wrapText="1" readingOrder="1"/>
    </xf>
    <xf numFmtId="0" fontId="3" fillId="0" borderId="13" xfId="0" applyFont="1" applyBorder="1" applyAlignment="1">
      <alignment horizontal="center" vertical="center" wrapText="1" readingOrder="1"/>
    </xf>
    <xf numFmtId="0" fontId="15" fillId="2" borderId="4" xfId="7" applyFont="1" applyFill="1" applyBorder="1" applyAlignment="1">
      <alignment horizontal="center" vertical="center" wrapText="1" readingOrder="1"/>
    </xf>
    <xf numFmtId="0" fontId="15" fillId="2" borderId="4" xfId="0" applyFont="1" applyFill="1" applyBorder="1" applyAlignment="1">
      <alignment horizontal="center" vertical="center" wrapText="1" readingOrder="1"/>
    </xf>
    <xf numFmtId="179" fontId="16" fillId="5" borderId="4" xfId="7" applyNumberFormat="1" applyFont="1" applyFill="1" applyBorder="1" applyAlignment="1">
      <alignment horizontal="center" vertical="center" wrapText="1" readingOrder="1"/>
    </xf>
    <xf numFmtId="9" fontId="17" fillId="10" borderId="4" xfId="7" applyNumberFormat="1" applyFont="1" applyFill="1" applyBorder="1" applyAlignment="1">
      <alignment horizontal="center" vertical="center"/>
    </xf>
    <xf numFmtId="179" fontId="16" fillId="11" borderId="4" xfId="7" applyNumberFormat="1" applyFont="1" applyFill="1" applyBorder="1" applyAlignment="1">
      <alignment horizontal="center" vertical="center" wrapText="1" readingOrder="1"/>
    </xf>
    <xf numFmtId="0" fontId="5" fillId="0" borderId="4" xfId="7" applyFont="1" applyBorder="1" applyAlignment="1">
      <alignment horizontal="center"/>
    </xf>
    <xf numFmtId="0" fontId="5" fillId="0" borderId="27" xfId="7" applyFont="1" applyBorder="1" applyAlignment="1">
      <alignment horizontal="center"/>
    </xf>
    <xf numFmtId="9" fontId="17" fillId="10" borderId="27" xfId="7" applyNumberFormat="1" applyFont="1" applyFill="1" applyBorder="1" applyAlignment="1">
      <alignment horizontal="center" vertical="center"/>
    </xf>
    <xf numFmtId="179" fontId="16" fillId="11" borderId="27" xfId="7" applyNumberFormat="1" applyFont="1" applyFill="1" applyBorder="1" applyAlignment="1">
      <alignment horizontal="center" vertical="center" wrapText="1" readingOrder="1"/>
    </xf>
    <xf numFmtId="0" fontId="51" fillId="0" borderId="0" xfId="7"/>
    <xf numFmtId="0" fontId="19" fillId="12" borderId="3" xfId="0" applyFont="1" applyFill="1" applyBorder="1" applyAlignment="1">
      <alignment horizontal="center" vertical="center" wrapText="1"/>
    </xf>
    <xf numFmtId="0" fontId="19" fillId="12" borderId="33" xfId="0" applyFont="1" applyFill="1" applyBorder="1" applyAlignment="1">
      <alignment horizontal="center" vertical="center" wrapText="1"/>
    </xf>
    <xf numFmtId="0" fontId="19" fillId="12" borderId="4" xfId="0" applyFont="1" applyFill="1" applyBorder="1" applyAlignment="1">
      <alignment horizontal="center" vertical="center" wrapText="1"/>
    </xf>
    <xf numFmtId="0" fontId="19" fillId="12" borderId="13" xfId="0" applyFont="1" applyFill="1" applyBorder="1" applyAlignment="1">
      <alignment horizontal="center" vertical="center" wrapText="1"/>
    </xf>
    <xf numFmtId="0" fontId="21" fillId="14" borderId="4" xfId="0" applyFont="1" applyFill="1" applyBorder="1" applyAlignment="1">
      <alignment horizontal="center" vertical="center"/>
    </xf>
    <xf numFmtId="0" fontId="21" fillId="0" borderId="4" xfId="0" applyFont="1" applyFill="1" applyBorder="1" applyAlignment="1">
      <alignment horizontal="center" vertical="center"/>
    </xf>
    <xf numFmtId="0" fontId="21" fillId="0" borderId="13" xfId="0" applyFont="1" applyFill="1" applyBorder="1" applyAlignment="1">
      <alignment horizontal="center" vertical="center"/>
    </xf>
    <xf numFmtId="0" fontId="21" fillId="0" borderId="4" xfId="0" applyFont="1" applyFill="1" applyBorder="1" applyAlignment="1">
      <alignment vertical="center"/>
    </xf>
    <xf numFmtId="176" fontId="21" fillId="0" borderId="4" xfId="0" applyNumberFormat="1" applyFont="1" applyFill="1" applyBorder="1" applyAlignment="1">
      <alignment horizontal="center" vertical="center"/>
    </xf>
    <xf numFmtId="176" fontId="21" fillId="0" borderId="13" xfId="0" applyNumberFormat="1" applyFont="1" applyFill="1" applyBorder="1" applyAlignment="1">
      <alignment horizontal="center" vertical="center"/>
    </xf>
    <xf numFmtId="0" fontId="21" fillId="0" borderId="27" xfId="0" applyFont="1" applyFill="1" applyBorder="1" applyAlignment="1">
      <alignment vertical="center"/>
    </xf>
    <xf numFmtId="2" fontId="21" fillId="0" borderId="4" xfId="0" applyNumberFormat="1" applyFont="1" applyFill="1" applyBorder="1" applyAlignment="1">
      <alignment horizontal="center" vertical="center"/>
    </xf>
    <xf numFmtId="2" fontId="21" fillId="0" borderId="13" xfId="0" applyNumberFormat="1" applyFont="1" applyFill="1" applyBorder="1" applyAlignment="1">
      <alignment horizontal="center" vertical="center"/>
    </xf>
    <xf numFmtId="179" fontId="16" fillId="11" borderId="13" xfId="7" applyNumberFormat="1" applyFont="1" applyFill="1" applyBorder="1" applyAlignment="1">
      <alignment horizontal="center" vertical="center" wrapText="1" readingOrder="1"/>
    </xf>
    <xf numFmtId="179" fontId="16" fillId="11" borderId="40" xfId="7" applyNumberFormat="1" applyFont="1" applyFill="1" applyBorder="1" applyAlignment="1">
      <alignment horizontal="center" vertical="center" wrapText="1" readingOrder="1"/>
    </xf>
    <xf numFmtId="0" fontId="16" fillId="0" borderId="0" xfId="7" applyFont="1" applyBorder="1" applyAlignment="1">
      <alignment vertical="top" wrapText="1" readingOrder="1"/>
    </xf>
    <xf numFmtId="0" fontId="51" fillId="0" borderId="0" xfId="7" applyBorder="1"/>
    <xf numFmtId="9" fontId="22" fillId="0" borderId="0" xfId="0" applyNumberFormat="1" applyFont="1" applyAlignment="1">
      <alignment vertical="center" wrapText="1"/>
    </xf>
    <xf numFmtId="0" fontId="3" fillId="15" borderId="43" xfId="0" applyFont="1" applyFill="1" applyBorder="1" applyAlignment="1">
      <alignment horizontal="center" vertical="center" wrapText="1" readingOrder="1"/>
    </xf>
    <xf numFmtId="0" fontId="3" fillId="15" borderId="44" xfId="0" applyFont="1" applyFill="1" applyBorder="1" applyAlignment="1">
      <alignment horizontal="center" vertical="center" wrapText="1" readingOrder="1"/>
    </xf>
    <xf numFmtId="0" fontId="3" fillId="15" borderId="45" xfId="0" applyFont="1" applyFill="1" applyBorder="1" applyAlignment="1">
      <alignment horizontal="center" vertical="center" wrapText="1" readingOrder="1"/>
    </xf>
    <xf numFmtId="0" fontId="3" fillId="15" borderId="4" xfId="0" applyFont="1" applyFill="1" applyBorder="1" applyAlignment="1">
      <alignment horizontal="center" vertical="center" wrapText="1" readingOrder="1"/>
    </xf>
    <xf numFmtId="0" fontId="3" fillId="0" borderId="3" xfId="0" applyFont="1" applyFill="1" applyBorder="1" applyAlignment="1">
      <alignment horizontal="center" vertical="center" wrapText="1"/>
    </xf>
    <xf numFmtId="0" fontId="3" fillId="0" borderId="4" xfId="0" applyFont="1" applyFill="1" applyBorder="1" applyAlignment="1">
      <alignment horizontal="center" vertical="center" wrapText="1"/>
    </xf>
    <xf numFmtId="0" fontId="3" fillId="0" borderId="9" xfId="0" applyFont="1" applyFill="1" applyBorder="1" applyAlignment="1">
      <alignment horizontal="center" vertical="center" wrapText="1"/>
    </xf>
    <xf numFmtId="0" fontId="3" fillId="0" borderId="10" xfId="0" applyFont="1" applyFill="1" applyBorder="1" applyAlignment="1">
      <alignment horizontal="center" vertical="center" wrapText="1"/>
    </xf>
    <xf numFmtId="0" fontId="2" fillId="3" borderId="50" xfId="0" applyFont="1" applyFill="1" applyBorder="1" applyAlignment="1">
      <alignment horizontal="center" vertical="center" wrapText="1" readingOrder="1"/>
    </xf>
    <xf numFmtId="0" fontId="3" fillId="16" borderId="50" xfId="0" applyFont="1" applyFill="1" applyBorder="1" applyAlignment="1">
      <alignment horizontal="center" vertical="center" wrapText="1" readingOrder="1"/>
    </xf>
    <xf numFmtId="0" fontId="15" fillId="2" borderId="44" xfId="7" applyFont="1" applyFill="1" applyBorder="1" applyAlignment="1">
      <alignment horizontal="center" vertical="center" wrapText="1" readingOrder="1"/>
    </xf>
    <xf numFmtId="0" fontId="15" fillId="2" borderId="51" xfId="7" applyFont="1" applyFill="1" applyBorder="1" applyAlignment="1">
      <alignment horizontal="center" vertical="center" wrapText="1" readingOrder="1"/>
    </xf>
    <xf numFmtId="0" fontId="16" fillId="0" borderId="44" xfId="7" applyFont="1" applyBorder="1" applyAlignment="1">
      <alignment horizontal="center" vertical="center" wrapText="1" readingOrder="1"/>
    </xf>
    <xf numFmtId="179" fontId="16" fillId="11" borderId="44" xfId="7" applyNumberFormat="1" applyFont="1" applyFill="1" applyBorder="1" applyAlignment="1">
      <alignment horizontal="center" vertical="center" wrapText="1" readingOrder="1"/>
    </xf>
    <xf numFmtId="179" fontId="16" fillId="11" borderId="53" xfId="7" applyNumberFormat="1" applyFont="1" applyFill="1" applyBorder="1" applyAlignment="1">
      <alignment horizontal="center" vertical="center" wrapText="1" readingOrder="1"/>
    </xf>
    <xf numFmtId="0" fontId="16" fillId="0" borderId="51" xfId="7" applyFont="1" applyBorder="1" applyAlignment="1">
      <alignment horizontal="center" vertical="center" wrapText="1" readingOrder="1"/>
    </xf>
    <xf numFmtId="179" fontId="16" fillId="11" borderId="51" xfId="7" applyNumberFormat="1" applyFont="1" applyFill="1" applyBorder="1" applyAlignment="1">
      <alignment horizontal="center" vertical="center" wrapText="1" readingOrder="1"/>
    </xf>
    <xf numFmtId="179" fontId="16" fillId="11" borderId="54" xfId="7" applyNumberFormat="1" applyFont="1" applyFill="1" applyBorder="1" applyAlignment="1">
      <alignment horizontal="center" vertical="center" wrapText="1" readingOrder="1"/>
    </xf>
    <xf numFmtId="0" fontId="23" fillId="0" borderId="0" xfId="0" applyFont="1" applyBorder="1" applyAlignment="1">
      <alignment vertical="top" wrapText="1"/>
    </xf>
    <xf numFmtId="0" fontId="24" fillId="17" borderId="4" xfId="0" applyFont="1" applyFill="1" applyBorder="1" applyAlignment="1">
      <alignment horizontal="center" vertical="center" wrapText="1"/>
    </xf>
    <xf numFmtId="0" fontId="25" fillId="0" borderId="3" xfId="0" applyFont="1" applyFill="1" applyBorder="1" applyAlignment="1">
      <alignment vertical="center" wrapText="1"/>
    </xf>
    <xf numFmtId="0" fontId="16" fillId="0" borderId="4" xfId="0" applyFont="1" applyBorder="1" applyAlignment="1">
      <alignment vertical="center" wrapText="1"/>
    </xf>
    <xf numFmtId="0" fontId="16" fillId="0" borderId="4" xfId="0" applyFont="1" applyBorder="1" applyAlignment="1">
      <alignment horizontal="center" vertical="center" wrapText="1"/>
    </xf>
    <xf numFmtId="0" fontId="0" fillId="0" borderId="0" xfId="0" applyFont="1" applyFill="1" applyAlignment="1"/>
    <xf numFmtId="0" fontId="27" fillId="3" borderId="4" xfId="0" applyFont="1" applyFill="1" applyBorder="1" applyAlignment="1">
      <alignment horizontal="center"/>
    </xf>
    <xf numFmtId="0" fontId="27" fillId="3" borderId="4" xfId="0" applyFont="1" applyFill="1" applyBorder="1" applyAlignment="1"/>
    <xf numFmtId="0" fontId="7" fillId="13" borderId="4" xfId="0" applyFont="1" applyFill="1" applyBorder="1" applyAlignment="1">
      <alignment horizontal="center" vertical="center" wrapText="1"/>
    </xf>
    <xf numFmtId="0" fontId="5" fillId="0" borderId="4" xfId="0" applyFont="1" applyFill="1" applyBorder="1" applyAlignment="1">
      <alignment vertical="center" wrapText="1"/>
    </xf>
    <xf numFmtId="0" fontId="28" fillId="0" borderId="4" xfId="0" applyFont="1" applyFill="1" applyBorder="1" applyAlignment="1">
      <alignment horizontal="left" vertical="center" wrapText="1"/>
    </xf>
    <xf numFmtId="0" fontId="7" fillId="13" borderId="4" xfId="0" applyFont="1" applyFill="1" applyBorder="1" applyAlignment="1">
      <alignment horizontal="center" vertical="center"/>
    </xf>
    <xf numFmtId="0" fontId="4" fillId="13" borderId="4" xfId="0" applyFont="1" applyFill="1" applyBorder="1" applyAlignment="1">
      <alignment horizontal="left" vertical="center"/>
    </xf>
    <xf numFmtId="0" fontId="29" fillId="0" borderId="0" xfId="6" applyFont="1" applyAlignment="1">
      <alignment vertical="center" wrapText="1"/>
    </xf>
    <xf numFmtId="0" fontId="29" fillId="17" borderId="4" xfId="6" applyFont="1" applyFill="1" applyBorder="1" applyAlignment="1">
      <alignment vertical="center" wrapText="1"/>
    </xf>
    <xf numFmtId="0" fontId="30" fillId="17" borderId="4" xfId="6" applyFont="1" applyFill="1" applyBorder="1" applyAlignment="1">
      <alignment horizontal="center" vertical="center" wrapText="1"/>
    </xf>
    <xf numFmtId="0" fontId="29" fillId="0" borderId="4" xfId="6" applyFont="1" applyBorder="1" applyAlignment="1">
      <alignment horizontal="center" vertical="center" wrapText="1"/>
    </xf>
    <xf numFmtId="0" fontId="29" fillId="19" borderId="4" xfId="6" applyFont="1" applyFill="1" applyBorder="1" applyAlignment="1">
      <alignment horizontal="center" vertical="center" wrapText="1"/>
    </xf>
    <xf numFmtId="0" fontId="7" fillId="0" borderId="0" xfId="6" applyFont="1" applyFill="1" applyBorder="1" applyAlignment="1">
      <alignment horizontal="center" vertical="center" wrapText="1"/>
    </xf>
    <xf numFmtId="0" fontId="7" fillId="17" borderId="4" xfId="6" applyFont="1" applyFill="1" applyBorder="1" applyAlignment="1">
      <alignment horizontal="center" vertical="center" wrapText="1"/>
    </xf>
    <xf numFmtId="0" fontId="5" fillId="0" borderId="4" xfId="6" applyFont="1" applyBorder="1" applyAlignment="1">
      <alignment horizontal="center" vertical="center" wrapText="1"/>
    </xf>
    <xf numFmtId="0" fontId="29" fillId="0" borderId="0" xfId="6" applyFont="1" applyFill="1" applyBorder="1" applyAlignment="1">
      <alignment vertical="center" wrapText="1"/>
    </xf>
    <xf numFmtId="0" fontId="5" fillId="0" borderId="6" xfId="6" applyFont="1" applyBorder="1" applyAlignment="1">
      <alignment horizontal="center" vertical="center" wrapText="1"/>
    </xf>
    <xf numFmtId="43" fontId="5" fillId="0" borderId="4" xfId="1" applyFont="1" applyFill="1" applyBorder="1" applyAlignment="1">
      <alignment horizontal="center" vertical="center" wrapText="1"/>
    </xf>
    <xf numFmtId="0" fontId="29" fillId="0" borderId="4" xfId="6" applyFont="1" applyBorder="1" applyAlignment="1">
      <alignment vertical="center" wrapText="1"/>
    </xf>
    <xf numFmtId="0" fontId="51" fillId="0" borderId="0" xfId="7" applyAlignment="1">
      <alignment horizontal="center" vertical="center"/>
    </xf>
    <xf numFmtId="9" fontId="51" fillId="0" borderId="0" xfId="7" applyNumberFormat="1"/>
    <xf numFmtId="0" fontId="11" fillId="18" borderId="3" xfId="0" applyFont="1" applyFill="1" applyBorder="1" applyAlignment="1">
      <alignment horizontal="center" vertical="center" wrapText="1"/>
    </xf>
    <xf numFmtId="0" fontId="11" fillId="18" borderId="4" xfId="0" applyFont="1" applyFill="1" applyBorder="1" applyAlignment="1">
      <alignment horizontal="center" vertical="center" wrapText="1"/>
    </xf>
    <xf numFmtId="0" fontId="11" fillId="18" borderId="13" xfId="0" applyFont="1" applyFill="1" applyBorder="1" applyAlignment="1">
      <alignment horizontal="center" vertical="center" wrapText="1"/>
    </xf>
    <xf numFmtId="0" fontId="35" fillId="10" borderId="4" xfId="0" applyFont="1" applyFill="1" applyBorder="1" applyAlignment="1">
      <alignment horizontal="center" vertical="center" wrapText="1"/>
    </xf>
    <xf numFmtId="0" fontId="3" fillId="11" borderId="4" xfId="0" applyFont="1" applyFill="1" applyBorder="1" applyAlignment="1">
      <alignment horizontal="center" vertical="center" wrapText="1"/>
    </xf>
    <xf numFmtId="0" fontId="35" fillId="10" borderId="10" xfId="0" applyFont="1" applyFill="1" applyBorder="1" applyAlignment="1">
      <alignment horizontal="center" vertical="center" wrapText="1"/>
    </xf>
    <xf numFmtId="0" fontId="3" fillId="11" borderId="10" xfId="0" applyFont="1" applyFill="1" applyBorder="1" applyAlignment="1">
      <alignment horizontal="center" vertical="center" wrapText="1"/>
    </xf>
    <xf numFmtId="0" fontId="15" fillId="2" borderId="27" xfId="0" applyFont="1" applyFill="1" applyBorder="1" applyAlignment="1">
      <alignment horizontal="center" vertical="center" wrapText="1" readingOrder="1"/>
    </xf>
    <xf numFmtId="0" fontId="16" fillId="0" borderId="64" xfId="7" applyFont="1" applyBorder="1" applyAlignment="1">
      <alignment horizontal="center" vertical="center" wrapText="1" readingOrder="1"/>
    </xf>
    <xf numFmtId="9" fontId="17" fillId="10" borderId="20" xfId="7" applyNumberFormat="1" applyFont="1" applyFill="1" applyBorder="1" applyAlignment="1">
      <alignment horizontal="center" vertical="center"/>
    </xf>
    <xf numFmtId="179" fontId="16" fillId="11" borderId="65" xfId="7" applyNumberFormat="1" applyFont="1" applyFill="1" applyBorder="1" applyAlignment="1">
      <alignment horizontal="center" vertical="center" wrapText="1" readingOrder="1"/>
    </xf>
    <xf numFmtId="0" fontId="16" fillId="0" borderId="67" xfId="7" applyFont="1" applyBorder="1" applyAlignment="1">
      <alignment horizontal="center" vertical="center" wrapText="1" readingOrder="1"/>
    </xf>
    <xf numFmtId="9" fontId="17" fillId="10" borderId="13" xfId="7" applyNumberFormat="1" applyFont="1" applyFill="1" applyBorder="1" applyAlignment="1">
      <alignment horizontal="center" vertical="center"/>
    </xf>
    <xf numFmtId="0" fontId="16" fillId="0" borderId="68" xfId="7" applyFont="1" applyBorder="1" applyAlignment="1">
      <alignment horizontal="center" vertical="center" wrapText="1" readingOrder="1"/>
    </xf>
    <xf numFmtId="9" fontId="17" fillId="10" borderId="21" xfId="7" applyNumberFormat="1" applyFont="1" applyFill="1" applyBorder="1" applyAlignment="1">
      <alignment horizontal="center" vertical="center"/>
    </xf>
    <xf numFmtId="179" fontId="16" fillId="11" borderId="69" xfId="7" applyNumberFormat="1" applyFont="1" applyFill="1" applyBorder="1" applyAlignment="1">
      <alignment horizontal="center" vertical="center" wrapText="1" readingOrder="1"/>
    </xf>
    <xf numFmtId="179" fontId="16" fillId="11" borderId="72" xfId="7" applyNumberFormat="1" applyFont="1" applyFill="1" applyBorder="1" applyAlignment="1">
      <alignment horizontal="center" vertical="center" wrapText="1" readingOrder="1"/>
    </xf>
    <xf numFmtId="179" fontId="16" fillId="11" borderId="45" xfId="7" applyNumberFormat="1" applyFont="1" applyFill="1" applyBorder="1" applyAlignment="1">
      <alignment horizontal="center" vertical="center" wrapText="1" readingOrder="1"/>
    </xf>
    <xf numFmtId="179" fontId="16" fillId="11" borderId="73" xfId="7" applyNumberFormat="1" applyFont="1" applyFill="1" applyBorder="1" applyAlignment="1">
      <alignment horizontal="center" vertical="center" wrapText="1" readingOrder="1"/>
    </xf>
    <xf numFmtId="0" fontId="3" fillId="16" borderId="50" xfId="0" applyFont="1" applyFill="1" applyBorder="1" applyAlignment="1">
      <alignment horizontal="left" vertical="center" wrapText="1" readingOrder="1"/>
    </xf>
    <xf numFmtId="0" fontId="5" fillId="0" borderId="0" xfId="0" applyFont="1"/>
    <xf numFmtId="0" fontId="5" fillId="4" borderId="0" xfId="0" applyFont="1" applyFill="1" applyAlignment="1"/>
    <xf numFmtId="0" fontId="20" fillId="13" borderId="9" xfId="0" applyFont="1" applyFill="1" applyBorder="1" applyAlignment="1">
      <alignment horizontal="center" vertical="center"/>
    </xf>
    <xf numFmtId="0" fontId="20" fillId="13" borderId="74" xfId="0" applyFont="1" applyFill="1" applyBorder="1" applyAlignment="1">
      <alignment horizontal="center" vertical="center"/>
    </xf>
    <xf numFmtId="0" fontId="51" fillId="0" borderId="0" xfId="4" applyAlignment="1">
      <alignment horizontal="left" vertical="center"/>
    </xf>
    <xf numFmtId="0" fontId="0" fillId="0" borderId="0" xfId="4" applyFont="1">
      <alignment vertical="center"/>
    </xf>
    <xf numFmtId="0" fontId="3" fillId="0" borderId="44" xfId="0" applyFont="1" applyBorder="1" applyAlignment="1">
      <alignment horizontal="center" vertical="center" wrapText="1" readingOrder="1"/>
    </xf>
    <xf numFmtId="0" fontId="37" fillId="14" borderId="4"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 fillId="0" borderId="0" xfId="0" applyFont="1" applyBorder="1" applyAlignment="1">
      <alignment horizontal="center" vertical="center" wrapText="1" readingOrder="1"/>
    </xf>
    <xf numFmtId="0" fontId="10" fillId="7" borderId="4" xfId="4" applyFont="1" applyFill="1" applyBorder="1" applyAlignment="1">
      <alignment horizontal="center" vertical="center"/>
    </xf>
    <xf numFmtId="0" fontId="11" fillId="8" borderId="4" xfId="0" applyFont="1" applyFill="1" applyBorder="1" applyAlignment="1">
      <alignment horizontal="center" vertical="center" wrapText="1" readingOrder="1"/>
    </xf>
    <xf numFmtId="0" fontId="2" fillId="3" borderId="0" xfId="0" applyFont="1" applyFill="1" applyBorder="1" applyAlignment="1">
      <alignment vertical="center" wrapText="1" readingOrder="1"/>
    </xf>
    <xf numFmtId="0" fontId="20" fillId="3" borderId="0" xfId="0" applyFont="1" applyFill="1" applyAlignment="1">
      <alignment vertical="center" readingOrder="1"/>
    </xf>
    <xf numFmtId="0" fontId="39" fillId="3" borderId="0" xfId="0" applyFont="1" applyFill="1" applyAlignment="1">
      <alignment vertical="center" readingOrder="1"/>
    </xf>
    <xf numFmtId="0" fontId="3" fillId="20" borderId="81" xfId="0" applyFont="1" applyFill="1" applyBorder="1" applyAlignment="1">
      <alignment horizontal="center" vertical="center" wrapText="1" readingOrder="1"/>
    </xf>
    <xf numFmtId="0" fontId="3" fillId="20" borderId="36" xfId="0" applyFont="1" applyFill="1" applyBorder="1" applyAlignment="1">
      <alignment horizontal="center" vertical="center" wrapText="1" readingOrder="1"/>
    </xf>
    <xf numFmtId="0" fontId="3" fillId="20" borderId="71" xfId="0" applyFont="1" applyFill="1" applyBorder="1" applyAlignment="1">
      <alignment horizontal="center" vertical="center" wrapText="1" readingOrder="1"/>
    </xf>
    <xf numFmtId="0" fontId="3" fillId="20" borderId="0" xfId="0" applyFont="1" applyFill="1" applyBorder="1" applyAlignment="1">
      <alignment horizontal="center" vertical="center" wrapText="1" readingOrder="1"/>
    </xf>
    <xf numFmtId="9" fontId="3" fillId="0" borderId="4" xfId="0" applyNumberFormat="1" applyFont="1" applyBorder="1" applyAlignment="1">
      <alignment horizontal="center" vertical="center" wrapText="1"/>
    </xf>
    <xf numFmtId="0" fontId="13" fillId="0" borderId="0" xfId="0" applyFont="1" applyFill="1" applyBorder="1" applyAlignment="1">
      <alignment vertical="top" wrapText="1"/>
    </xf>
    <xf numFmtId="0" fontId="3" fillId="20" borderId="82" xfId="0" applyFont="1" applyFill="1" applyBorder="1" applyAlignment="1">
      <alignment horizontal="center" vertical="center" wrapText="1" readingOrder="1"/>
    </xf>
    <xf numFmtId="0" fontId="3" fillId="20" borderId="83" xfId="0" applyFont="1" applyFill="1" applyBorder="1" applyAlignment="1">
      <alignment horizontal="center" vertical="center" wrapText="1" readingOrder="1"/>
    </xf>
    <xf numFmtId="0" fontId="3" fillId="20" borderId="7" xfId="0" applyFont="1" applyFill="1" applyBorder="1" applyAlignment="1">
      <alignment horizontal="center" vertical="center" wrapText="1" readingOrder="1"/>
    </xf>
    <xf numFmtId="0" fontId="3" fillId="20" borderId="2" xfId="0" applyFont="1" applyFill="1" applyBorder="1" applyAlignment="1">
      <alignment horizontal="center" vertical="center" wrapText="1" readingOrder="1"/>
    </xf>
    <xf numFmtId="0" fontId="3" fillId="20" borderId="0" xfId="0" applyFont="1" applyFill="1" applyAlignment="1">
      <alignment horizontal="center" vertical="center" wrapText="1" readingOrder="1"/>
    </xf>
    <xf numFmtId="0" fontId="3" fillId="20" borderId="84" xfId="0" applyFont="1" applyFill="1" applyBorder="1" applyAlignment="1">
      <alignment horizontal="center" vertical="center" wrapText="1" readingOrder="1"/>
    </xf>
    <xf numFmtId="0" fontId="2" fillId="3" borderId="91" xfId="0" applyFont="1" applyFill="1" applyBorder="1" applyAlignment="1">
      <alignment horizontal="center" vertical="center" wrapText="1" readingOrder="1"/>
    </xf>
    <xf numFmtId="0" fontId="3" fillId="21" borderId="50" xfId="0" applyFont="1" applyFill="1" applyBorder="1" applyAlignment="1">
      <alignment horizontal="center" vertical="center" wrapText="1" readingOrder="1"/>
    </xf>
    <xf numFmtId="0" fontId="3" fillId="22" borderId="50" xfId="0" applyFont="1" applyFill="1" applyBorder="1" applyAlignment="1">
      <alignment horizontal="center" vertical="center" wrapText="1" readingOrder="1"/>
    </xf>
    <xf numFmtId="0" fontId="2" fillId="3" borderId="92" xfId="0" applyFont="1" applyFill="1" applyBorder="1" applyAlignment="1">
      <alignment horizontal="center" vertical="center" wrapText="1" readingOrder="1"/>
    </xf>
    <xf numFmtId="0" fontId="9" fillId="0" borderId="4" xfId="0" applyFont="1" applyBorder="1" applyAlignment="1">
      <alignment horizontal="center" vertical="center" wrapText="1" readingOrder="1"/>
    </xf>
    <xf numFmtId="0" fontId="5" fillId="0" borderId="4" xfId="0" applyFont="1" applyBorder="1" applyAlignment="1">
      <alignment vertical="center" wrapText="1"/>
    </xf>
    <xf numFmtId="0" fontId="23" fillId="19" borderId="4" xfId="0" applyFont="1" applyFill="1" applyBorder="1" applyAlignment="1">
      <alignment horizontal="center" vertical="center" wrapText="1" readingOrder="1"/>
    </xf>
    <xf numFmtId="0" fontId="6" fillId="0" borderId="0" xfId="0" applyFont="1" applyFill="1" applyBorder="1" applyAlignment="1">
      <alignment vertical="center" wrapText="1"/>
    </xf>
    <xf numFmtId="0" fontId="3" fillId="15" borderId="93" xfId="0" applyFont="1" applyFill="1" applyBorder="1" applyAlignment="1">
      <alignment horizontal="center" vertical="center" wrapText="1" readingOrder="1"/>
    </xf>
    <xf numFmtId="0" fontId="3" fillId="15" borderId="72" xfId="0" applyFont="1" applyFill="1" applyBorder="1" applyAlignment="1">
      <alignment horizontal="center" vertical="center" wrapText="1" readingOrder="1"/>
    </xf>
    <xf numFmtId="0" fontId="14" fillId="0" borderId="3" xfId="0" applyFont="1" applyFill="1" applyBorder="1" applyAlignment="1">
      <alignment horizontal="center" vertical="center"/>
    </xf>
    <xf numFmtId="0" fontId="23" fillId="0" borderId="3" xfId="0" applyFont="1" applyFill="1" applyBorder="1" applyAlignment="1">
      <alignment horizontal="center" vertical="center"/>
    </xf>
    <xf numFmtId="0" fontId="0" fillId="0" borderId="0" xfId="0" applyAlignment="1">
      <alignment horizontal="center"/>
    </xf>
    <xf numFmtId="0" fontId="43" fillId="3" borderId="4" xfId="0" applyFont="1" applyFill="1" applyBorder="1" applyAlignment="1">
      <alignment horizontal="center" vertical="center"/>
    </xf>
    <xf numFmtId="0" fontId="14" fillId="0" borderId="4" xfId="0" applyFont="1" applyFill="1" applyBorder="1" applyAlignment="1">
      <alignment horizontal="center" vertical="center"/>
    </xf>
    <xf numFmtId="0" fontId="44" fillId="0" borderId="4" xfId="2" applyFont="1" applyFill="1" applyBorder="1" applyAlignment="1" applyProtection="1">
      <alignment horizontal="center"/>
    </xf>
    <xf numFmtId="0" fontId="44" fillId="0" borderId="4" xfId="0" applyNumberFormat="1" applyFont="1" applyFill="1" applyBorder="1" applyAlignment="1">
      <alignment horizontal="center"/>
    </xf>
    <xf numFmtId="0" fontId="0" fillId="0" borderId="4" xfId="0" applyBorder="1"/>
    <xf numFmtId="0" fontId="46" fillId="0" borderId="4" xfId="0" applyNumberFormat="1" applyFont="1" applyFill="1" applyBorder="1" applyAlignment="1">
      <alignment horizontal="center"/>
    </xf>
    <xf numFmtId="0" fontId="47" fillId="0" borderId="4" xfId="2" applyFont="1" applyFill="1" applyBorder="1" applyAlignment="1" applyProtection="1">
      <alignment horizontal="center"/>
    </xf>
    <xf numFmtId="0" fontId="45" fillId="0" borderId="4" xfId="0" applyNumberFormat="1" applyFont="1" applyFill="1" applyBorder="1" applyAlignment="1">
      <alignment horizontal="center"/>
    </xf>
    <xf numFmtId="0" fontId="48" fillId="0" borderId="4" xfId="2" applyFont="1" applyFill="1" applyBorder="1" applyAlignment="1" applyProtection="1">
      <alignment horizontal="center"/>
    </xf>
    <xf numFmtId="0" fontId="49" fillId="0" borderId="4" xfId="2" applyFont="1" applyFill="1" applyBorder="1" applyAlignment="1" applyProtection="1">
      <alignment horizontal="center"/>
    </xf>
    <xf numFmtId="0" fontId="49" fillId="0" borderId="4" xfId="0" applyNumberFormat="1" applyFont="1" applyFill="1" applyBorder="1" applyAlignment="1">
      <alignment horizontal="center"/>
    </xf>
    <xf numFmtId="0" fontId="23" fillId="0" borderId="4" xfId="0" applyFont="1" applyFill="1" applyBorder="1" applyAlignment="1">
      <alignment horizontal="center" vertical="center"/>
    </xf>
    <xf numFmtId="0" fontId="0" fillId="0" borderId="4" xfId="0" applyFont="1" applyBorder="1"/>
    <xf numFmtId="0" fontId="14" fillId="0" borderId="4" xfId="0" applyFont="1" applyFill="1" applyBorder="1" applyAlignment="1">
      <alignment horizontal="center" vertical="center" wrapText="1"/>
    </xf>
    <xf numFmtId="0" fontId="50" fillId="0" borderId="4" xfId="0" applyNumberFormat="1" applyFont="1" applyFill="1" applyBorder="1" applyAlignment="1">
      <alignment horizontal="center"/>
    </xf>
    <xf numFmtId="0" fontId="19" fillId="24" borderId="4" xfId="0" applyFont="1" applyFill="1" applyBorder="1" applyAlignment="1">
      <alignment horizontal="center" vertical="center"/>
    </xf>
    <xf numFmtId="0" fontId="14" fillId="0" borderId="4" xfId="0" applyFont="1" applyFill="1" applyBorder="1" applyAlignment="1">
      <alignment horizontal="center" vertical="center"/>
    </xf>
    <xf numFmtId="0" fontId="14" fillId="0" borderId="27" xfId="0" applyFont="1" applyFill="1" applyBorder="1" applyAlignment="1">
      <alignment horizontal="center" vertical="center"/>
    </xf>
    <xf numFmtId="0" fontId="14" fillId="0" borderId="6" xfId="0" applyFont="1" applyFill="1" applyBorder="1" applyAlignment="1">
      <alignment horizontal="center" vertical="center"/>
    </xf>
    <xf numFmtId="0" fontId="44" fillId="0" borderId="4" xfId="0" applyFont="1" applyFill="1" applyBorder="1" applyAlignment="1">
      <alignment horizontal="center" vertical="center"/>
    </xf>
    <xf numFmtId="0" fontId="45" fillId="0" borderId="4" xfId="0" applyNumberFormat="1" applyFont="1" applyFill="1" applyBorder="1" applyAlignment="1">
      <alignment horizontal="center" vertical="center"/>
    </xf>
    <xf numFmtId="0" fontId="42" fillId="2" borderId="81" xfId="0" applyFont="1" applyFill="1" applyBorder="1" applyAlignment="1">
      <alignment horizontal="center" vertical="center"/>
    </xf>
    <xf numFmtId="0" fontId="42" fillId="2" borderId="36" xfId="0" applyFont="1" applyFill="1" applyBorder="1" applyAlignment="1">
      <alignment horizontal="center" vertical="center"/>
    </xf>
    <xf numFmtId="0" fontId="42" fillId="2" borderId="82" xfId="0" applyFont="1" applyFill="1" applyBorder="1" applyAlignment="1">
      <alignment horizontal="center" vertical="center"/>
    </xf>
    <xf numFmtId="0" fontId="42" fillId="2" borderId="7" xfId="0" applyFont="1" applyFill="1" applyBorder="1" applyAlignment="1">
      <alignment horizontal="center" vertical="center"/>
    </xf>
    <xf numFmtId="0" fontId="42" fillId="2" borderId="2" xfId="0" applyFont="1" applyFill="1" applyBorder="1" applyAlignment="1">
      <alignment horizontal="center" vertical="center"/>
    </xf>
    <xf numFmtId="0" fontId="42" fillId="2" borderId="84" xfId="0" applyFont="1" applyFill="1" applyBorder="1" applyAlignment="1">
      <alignment horizontal="center" vertical="center"/>
    </xf>
    <xf numFmtId="0" fontId="6" fillId="0" borderId="0" xfId="0" applyFont="1" applyFill="1" applyAlignment="1">
      <alignment horizontal="center" vertical="center" wrapText="1"/>
    </xf>
    <xf numFmtId="0" fontId="23" fillId="0" borderId="46" xfId="0" applyFont="1" applyBorder="1" applyAlignment="1">
      <alignment horizontal="left" vertical="top" wrapText="1"/>
    </xf>
    <xf numFmtId="0" fontId="23" fillId="0" borderId="48" xfId="0" applyFont="1" applyBorder="1" applyAlignment="1">
      <alignment horizontal="left" vertical="top" wrapText="1"/>
    </xf>
    <xf numFmtId="0" fontId="3" fillId="0" borderId="40" xfId="0" applyFont="1" applyFill="1" applyBorder="1" applyAlignment="1">
      <alignment horizontal="center" vertical="center" wrapText="1"/>
    </xf>
    <xf numFmtId="0" fontId="3" fillId="0" borderId="14" xfId="0" applyFont="1" applyFill="1" applyBorder="1" applyAlignment="1">
      <alignment horizontal="center" vertical="center" wrapText="1"/>
    </xf>
    <xf numFmtId="0" fontId="3" fillId="0" borderId="62" xfId="0" applyFont="1" applyFill="1" applyBorder="1" applyAlignment="1">
      <alignment horizontal="center" vertical="center" wrapText="1"/>
    </xf>
    <xf numFmtId="0" fontId="10" fillId="2" borderId="28" xfId="4" applyFont="1" applyFill="1" applyBorder="1" applyAlignment="1">
      <alignment horizontal="center" vertical="center"/>
    </xf>
    <xf numFmtId="0" fontId="10" fillId="2" borderId="41" xfId="4" applyFont="1" applyFill="1" applyBorder="1" applyAlignment="1">
      <alignment horizontal="center" vertical="center"/>
    </xf>
    <xf numFmtId="0" fontId="10" fillId="2" borderId="38" xfId="4" applyFont="1" applyFill="1" applyBorder="1" applyAlignment="1">
      <alignment horizontal="center" vertical="center"/>
    </xf>
    <xf numFmtId="0" fontId="10" fillId="2" borderId="39" xfId="4" applyFont="1" applyFill="1" applyBorder="1" applyAlignment="1">
      <alignment horizontal="center" vertical="center"/>
    </xf>
    <xf numFmtId="0" fontId="20" fillId="2" borderId="85" xfId="0" applyFont="1" applyFill="1" applyBorder="1" applyAlignment="1">
      <alignment horizontal="center"/>
    </xf>
    <xf numFmtId="0" fontId="20" fillId="2" borderId="86" xfId="0" applyFont="1" applyFill="1" applyBorder="1" applyAlignment="1">
      <alignment horizontal="center"/>
    </xf>
    <xf numFmtId="0" fontId="20" fillId="2" borderId="87" xfId="0" applyFont="1" applyFill="1" applyBorder="1" applyAlignment="1">
      <alignment horizontal="center"/>
    </xf>
    <xf numFmtId="0" fontId="2" fillId="3" borderId="89" xfId="0" applyFont="1" applyFill="1" applyBorder="1" applyAlignment="1">
      <alignment horizontal="center" vertical="center" wrapText="1" readingOrder="1"/>
    </xf>
    <xf numFmtId="0" fontId="2" fillId="3" borderId="90" xfId="0" applyFont="1" applyFill="1" applyBorder="1" applyAlignment="1">
      <alignment horizontal="center" vertical="center" wrapText="1" readingOrder="1"/>
    </xf>
    <xf numFmtId="0" fontId="20" fillId="2" borderId="46" xfId="0" applyFont="1" applyFill="1" applyBorder="1" applyAlignment="1">
      <alignment horizontal="center"/>
    </xf>
    <xf numFmtId="0" fontId="20" fillId="2" borderId="47" xfId="0" applyFont="1" applyFill="1" applyBorder="1" applyAlignment="1">
      <alignment horizontal="center"/>
    </xf>
    <xf numFmtId="0" fontId="20" fillId="2" borderId="48" xfId="0" applyFont="1" applyFill="1" applyBorder="1" applyAlignment="1">
      <alignment horizontal="center"/>
    </xf>
    <xf numFmtId="0" fontId="41" fillId="2" borderId="46" xfId="0" applyFont="1" applyFill="1" applyBorder="1" applyAlignment="1">
      <alignment horizontal="center"/>
    </xf>
    <xf numFmtId="0" fontId="0" fillId="0" borderId="36" xfId="0" applyFont="1" applyFill="1" applyBorder="1" applyAlignment="1">
      <alignment horizontal="left" wrapText="1"/>
    </xf>
    <xf numFmtId="0" fontId="0" fillId="0" borderId="36" xfId="0" applyFill="1" applyBorder="1" applyAlignment="1">
      <alignment horizontal="left" wrapText="1"/>
    </xf>
    <xf numFmtId="0" fontId="2" fillId="3" borderId="88" xfId="0" applyFont="1" applyFill="1" applyBorder="1" applyAlignment="1">
      <alignment horizontal="center" vertical="center" wrapText="1" readingOrder="1"/>
    </xf>
    <xf numFmtId="0" fontId="2" fillId="3" borderId="91" xfId="0" applyFont="1" applyFill="1" applyBorder="1" applyAlignment="1">
      <alignment horizontal="center" vertical="center" wrapText="1" readingOrder="1"/>
    </xf>
    <xf numFmtId="0" fontId="3" fillId="23" borderId="92" xfId="0" applyFont="1" applyFill="1" applyBorder="1" applyAlignment="1">
      <alignment horizontal="center" vertical="center" wrapText="1" readingOrder="1"/>
    </xf>
    <xf numFmtId="0" fontId="3" fillId="23" borderId="91" xfId="0" applyFont="1" applyFill="1" applyBorder="1" applyAlignment="1">
      <alignment horizontal="center" vertical="center" wrapText="1" readingOrder="1"/>
    </xf>
    <xf numFmtId="0" fontId="3" fillId="5" borderId="4" xfId="0" applyFont="1" applyFill="1" applyBorder="1" applyAlignment="1">
      <alignment horizontal="center" vertical="center" wrapText="1" readingOrder="1"/>
    </xf>
    <xf numFmtId="0" fontId="9" fillId="0" borderId="4" xfId="0" applyFont="1" applyBorder="1" applyAlignment="1">
      <alignment horizontal="center" vertical="center" wrapText="1" readingOrder="1"/>
    </xf>
    <xf numFmtId="0" fontId="14" fillId="5" borderId="92" xfId="0" applyFont="1" applyFill="1" applyBorder="1" applyAlignment="1">
      <alignment horizontal="center" vertical="center" wrapText="1" readingOrder="1"/>
    </xf>
    <xf numFmtId="0" fontId="14" fillId="5" borderId="91" xfId="0" applyFont="1" applyFill="1" applyBorder="1" applyAlignment="1">
      <alignment horizontal="center" vertical="center" wrapText="1" readingOrder="1"/>
    </xf>
    <xf numFmtId="0" fontId="3" fillId="0" borderId="92" xfId="0" applyFont="1" applyBorder="1" applyAlignment="1">
      <alignment horizontal="center" vertical="center" wrapText="1" readingOrder="1"/>
    </xf>
    <xf numFmtId="0" fontId="3" fillId="0" borderId="88" xfId="0" applyFont="1" applyBorder="1" applyAlignment="1">
      <alignment horizontal="center" vertical="center" wrapText="1" readingOrder="1"/>
    </xf>
    <xf numFmtId="0" fontId="3" fillId="0" borderId="91" xfId="0" applyFont="1" applyBorder="1" applyAlignment="1">
      <alignment horizontal="center" vertical="center" wrapText="1" readingOrder="1"/>
    </xf>
    <xf numFmtId="0" fontId="3" fillId="0" borderId="92" xfId="0" applyFont="1" applyBorder="1" applyAlignment="1">
      <alignment horizontal="left" vertical="center" wrapText="1" readingOrder="1"/>
    </xf>
    <xf numFmtId="0" fontId="3" fillId="0" borderId="88" xfId="0" applyFont="1" applyBorder="1" applyAlignment="1">
      <alignment horizontal="left" vertical="center" wrapText="1" readingOrder="1"/>
    </xf>
    <xf numFmtId="0" fontId="3" fillId="0" borderId="91" xfId="0" applyFont="1" applyBorder="1" applyAlignment="1">
      <alignment horizontal="left" vertical="center" wrapText="1" readingOrder="1"/>
    </xf>
    <xf numFmtId="0" fontId="3" fillId="21" borderId="92" xfId="0" applyFont="1" applyFill="1" applyBorder="1" applyAlignment="1">
      <alignment horizontal="center" vertical="center" wrapText="1" readingOrder="1"/>
    </xf>
    <xf numFmtId="0" fontId="3" fillId="21" borderId="88" xfId="0" applyFont="1" applyFill="1" applyBorder="1" applyAlignment="1">
      <alignment horizontal="center" vertical="center" wrapText="1" readingOrder="1"/>
    </xf>
    <xf numFmtId="0" fontId="3" fillId="21" borderId="91" xfId="0" applyFont="1" applyFill="1" applyBorder="1" applyAlignment="1">
      <alignment horizontal="center" vertical="center" wrapText="1" readingOrder="1"/>
    </xf>
    <xf numFmtId="0" fontId="3" fillId="22" borderId="92" xfId="0" applyFont="1" applyFill="1" applyBorder="1" applyAlignment="1">
      <alignment horizontal="center" vertical="center" wrapText="1" readingOrder="1"/>
    </xf>
    <xf numFmtId="0" fontId="3" fillId="22" borderId="88" xfId="0" applyFont="1" applyFill="1" applyBorder="1" applyAlignment="1">
      <alignment horizontal="center" vertical="center" wrapText="1" readingOrder="1"/>
    </xf>
    <xf numFmtId="0" fontId="3" fillId="22" borderId="91" xfId="0" applyFont="1" applyFill="1" applyBorder="1" applyAlignment="1">
      <alignment horizontal="center" vertical="center" wrapText="1" readingOrder="1"/>
    </xf>
    <xf numFmtId="0" fontId="40" fillId="23" borderId="92" xfId="0" applyFont="1" applyFill="1" applyBorder="1" applyAlignment="1">
      <alignment horizontal="left" vertical="center" wrapText="1" readingOrder="1"/>
    </xf>
    <xf numFmtId="0" fontId="40" fillId="23" borderId="91" xfId="0" applyFont="1" applyFill="1" applyBorder="1" applyAlignment="1">
      <alignment horizontal="left" vertical="center" wrapText="1" readingOrder="1"/>
    </xf>
    <xf numFmtId="0" fontId="3" fillId="5" borderId="4" xfId="0" applyFont="1" applyFill="1" applyBorder="1" applyAlignment="1">
      <alignment vertical="center" wrapText="1" readingOrder="1"/>
    </xf>
    <xf numFmtId="0" fontId="3" fillId="5" borderId="92" xfId="0" applyFont="1" applyFill="1" applyBorder="1" applyAlignment="1">
      <alignment horizontal="center" vertical="center" wrapText="1" readingOrder="1"/>
    </xf>
    <xf numFmtId="0" fontId="3" fillId="5" borderId="88" xfId="0" applyFont="1" applyFill="1" applyBorder="1" applyAlignment="1">
      <alignment horizontal="center" vertical="center" wrapText="1" readingOrder="1"/>
    </xf>
    <xf numFmtId="0" fontId="3" fillId="5" borderId="91" xfId="0" applyFont="1" applyFill="1" applyBorder="1" applyAlignment="1">
      <alignment horizontal="center" vertical="center" wrapText="1" readingOrder="1"/>
    </xf>
    <xf numFmtId="0" fontId="5" fillId="0" borderId="4" xfId="0" applyFont="1" applyBorder="1" applyAlignment="1">
      <alignment vertical="center" wrapText="1"/>
    </xf>
    <xf numFmtId="0" fontId="3" fillId="23" borderId="88" xfId="0" applyFont="1" applyFill="1" applyBorder="1" applyAlignment="1">
      <alignment horizontal="center" vertical="center" wrapText="1" readingOrder="1"/>
    </xf>
    <xf numFmtId="0" fontId="3" fillId="5" borderId="63" xfId="0" applyFont="1" applyFill="1" applyBorder="1" applyAlignment="1">
      <alignment horizontal="center" vertical="center" wrapText="1" readingOrder="1"/>
    </xf>
    <xf numFmtId="0" fontId="3" fillId="5" borderId="66" xfId="0" applyFont="1" applyFill="1" applyBorder="1" applyAlignment="1">
      <alignment horizontal="center" vertical="center" wrapText="1" readingOrder="1"/>
    </xf>
    <xf numFmtId="0" fontId="3" fillId="5" borderId="70" xfId="0" applyFont="1" applyFill="1" applyBorder="1" applyAlignment="1">
      <alignment horizontal="center" vertical="center" wrapText="1" readingOrder="1"/>
    </xf>
    <xf numFmtId="0" fontId="14" fillId="0" borderId="92" xfId="0" applyFont="1" applyBorder="1" applyAlignment="1">
      <alignment horizontal="left" vertical="center" wrapText="1" readingOrder="1"/>
    </xf>
    <xf numFmtId="0" fontId="14" fillId="0" borderId="88" xfId="0" applyFont="1" applyBorder="1" applyAlignment="1">
      <alignment horizontal="left" vertical="center" wrapText="1" readingOrder="1"/>
    </xf>
    <xf numFmtId="0" fontId="14" fillId="0" borderId="91" xfId="0" applyFont="1" applyBorder="1" applyAlignment="1">
      <alignment horizontal="left" vertical="center" wrapText="1" readingOrder="1"/>
    </xf>
    <xf numFmtId="0" fontId="3" fillId="5" borderId="63" xfId="0" applyFont="1" applyFill="1" applyBorder="1" applyAlignment="1">
      <alignment horizontal="left" vertical="center" wrapText="1" readingOrder="1"/>
    </xf>
    <xf numFmtId="0" fontId="3" fillId="5" borderId="66" xfId="0" applyFont="1" applyFill="1" applyBorder="1" applyAlignment="1">
      <alignment horizontal="left" vertical="center" wrapText="1" readingOrder="1"/>
    </xf>
    <xf numFmtId="0" fontId="3" fillId="5" borderId="70" xfId="0" applyFont="1" applyFill="1" applyBorder="1" applyAlignment="1">
      <alignment horizontal="left" vertical="center" wrapText="1" readingOrder="1"/>
    </xf>
    <xf numFmtId="0" fontId="3" fillId="15" borderId="77" xfId="0" applyFont="1" applyFill="1" applyBorder="1" applyAlignment="1">
      <alignment horizontal="center" vertical="center" wrapText="1" readingOrder="1"/>
    </xf>
    <xf numFmtId="0" fontId="3" fillId="15" borderId="78" xfId="0" applyFont="1" applyFill="1" applyBorder="1" applyAlignment="1">
      <alignment horizontal="center" vertical="center" wrapText="1" readingOrder="1"/>
    </xf>
    <xf numFmtId="0" fontId="14" fillId="0" borderId="4" xfId="0" applyFont="1" applyBorder="1" applyAlignment="1">
      <alignment horizontal="left" vertical="top" wrapText="1" readingOrder="1"/>
    </xf>
    <xf numFmtId="0" fontId="3" fillId="0" borderId="4" xfId="0" applyFont="1" applyBorder="1" applyAlignment="1">
      <alignment horizontal="left" vertical="top" wrapText="1" readingOrder="1"/>
    </xf>
    <xf numFmtId="0" fontId="10" fillId="2" borderId="4" xfId="4" applyFont="1" applyFill="1" applyBorder="1" applyAlignment="1">
      <alignment horizontal="center" vertical="center"/>
    </xf>
    <xf numFmtId="0" fontId="11" fillId="18" borderId="8" xfId="0" applyFont="1" applyFill="1" applyBorder="1" applyAlignment="1">
      <alignment horizontal="center" vertical="center" wrapText="1"/>
    </xf>
    <xf numFmtId="0" fontId="11" fillId="18" borderId="80" xfId="0" applyFont="1" applyFill="1" applyBorder="1" applyAlignment="1">
      <alignment horizontal="center" vertical="center" wrapText="1"/>
    </xf>
    <xf numFmtId="0" fontId="11" fillId="18" borderId="33" xfId="0" applyFont="1" applyFill="1" applyBorder="1" applyAlignment="1">
      <alignment horizontal="center" vertical="center" wrapText="1"/>
    </xf>
    <xf numFmtId="0" fontId="13" fillId="4" borderId="8" xfId="0" applyFont="1" applyFill="1" applyBorder="1" applyAlignment="1">
      <alignment horizontal="left" vertical="center" wrapText="1"/>
    </xf>
    <xf numFmtId="0" fontId="14" fillId="4" borderId="80" xfId="0" applyFont="1" applyFill="1" applyBorder="1" applyAlignment="1">
      <alignment horizontal="left" vertical="center"/>
    </xf>
    <xf numFmtId="0" fontId="14" fillId="4" borderId="33" xfId="0" applyFont="1" applyFill="1" applyBorder="1" applyAlignment="1">
      <alignment horizontal="left" vertical="center"/>
    </xf>
    <xf numFmtId="0" fontId="13" fillId="4" borderId="4" xfId="0" applyFont="1" applyFill="1" applyBorder="1" applyAlignment="1">
      <alignment horizontal="left" vertical="top" wrapText="1"/>
    </xf>
    <xf numFmtId="0" fontId="23" fillId="0" borderId="47" xfId="0" applyFont="1" applyBorder="1" applyAlignment="1">
      <alignment horizontal="left" vertical="top" wrapText="1"/>
    </xf>
    <xf numFmtId="0" fontId="4" fillId="0" borderId="4" xfId="0" applyFont="1" applyBorder="1" applyAlignment="1">
      <alignment horizontal="left" vertical="top" wrapText="1"/>
    </xf>
    <xf numFmtId="0" fontId="23" fillId="0" borderId="4" xfId="0" applyFont="1" applyBorder="1" applyAlignment="1">
      <alignment horizontal="left" vertical="top" wrapText="1"/>
    </xf>
    <xf numFmtId="0" fontId="3" fillId="15" borderId="76" xfId="0" applyFont="1" applyFill="1" applyBorder="1" applyAlignment="1">
      <alignment horizontal="center" vertical="center" wrapText="1" readingOrder="1"/>
    </xf>
    <xf numFmtId="0" fontId="3" fillId="15" borderId="52" xfId="0" applyFont="1" applyFill="1" applyBorder="1" applyAlignment="1">
      <alignment horizontal="center" vertical="center" wrapText="1" readingOrder="1"/>
    </xf>
    <xf numFmtId="0" fontId="3" fillId="0" borderId="51" xfId="0" applyFont="1" applyBorder="1" applyAlignment="1">
      <alignment horizontal="center" vertical="center" wrapText="1" readingOrder="1"/>
    </xf>
    <xf numFmtId="0" fontId="3" fillId="0" borderId="79" xfId="0" applyFont="1" applyBorder="1" applyAlignment="1">
      <alignment horizontal="center" vertical="center" wrapText="1" readingOrder="1"/>
    </xf>
    <xf numFmtId="0" fontId="3" fillId="0" borderId="52" xfId="0" applyFont="1" applyBorder="1" applyAlignment="1">
      <alignment horizontal="center" vertical="center" wrapText="1" readingOrder="1"/>
    </xf>
    <xf numFmtId="0" fontId="3" fillId="0" borderId="13" xfId="0" applyFont="1" applyFill="1" applyBorder="1" applyAlignment="1">
      <alignment horizontal="center" vertical="center" wrapText="1"/>
    </xf>
    <xf numFmtId="0" fontId="3" fillId="0" borderId="21" xfId="0" applyFont="1" applyFill="1" applyBorder="1" applyAlignment="1">
      <alignment horizontal="center" vertical="center" wrapText="1"/>
    </xf>
    <xf numFmtId="0" fontId="3" fillId="0" borderId="27" xfId="0" applyFont="1" applyBorder="1" applyAlignment="1">
      <alignment horizontal="center" vertical="center" wrapText="1"/>
    </xf>
    <xf numFmtId="0" fontId="3" fillId="0" borderId="6" xfId="0" applyFont="1" applyBorder="1" applyAlignment="1">
      <alignment horizontal="center" vertical="center" wrapText="1"/>
    </xf>
    <xf numFmtId="0" fontId="38" fillId="0" borderId="4" xfId="0" applyFont="1" applyBorder="1" applyAlignment="1">
      <alignment horizontal="center" vertical="center" wrapText="1" readingOrder="1"/>
    </xf>
    <xf numFmtId="0" fontId="21" fillId="0" borderId="27" xfId="4" applyFont="1" applyBorder="1" applyAlignment="1">
      <alignment horizontal="center" vertical="center" wrapText="1"/>
    </xf>
    <xf numFmtId="0" fontId="21" fillId="0" borderId="59" xfId="4" applyFont="1" applyBorder="1" applyAlignment="1">
      <alignment horizontal="center" vertical="center" wrapText="1"/>
    </xf>
    <xf numFmtId="0" fontId="21" fillId="0" borderId="6" xfId="4" applyFont="1" applyBorder="1" applyAlignment="1">
      <alignment horizontal="center" vertical="center" wrapText="1"/>
    </xf>
    <xf numFmtId="0" fontId="21" fillId="0" borderId="4" xfId="4" applyFont="1" applyBorder="1" applyAlignment="1">
      <alignment horizontal="center" vertical="center" wrapText="1"/>
    </xf>
    <xf numFmtId="0" fontId="38" fillId="0" borderId="4" xfId="0" applyFont="1" applyBorder="1" applyAlignment="1">
      <alignment horizontal="left" vertical="center" wrapText="1" readingOrder="1"/>
    </xf>
    <xf numFmtId="0" fontId="20" fillId="2" borderId="4" xfId="4" applyFont="1" applyFill="1" applyBorder="1" applyAlignment="1">
      <alignment horizontal="center" vertical="center"/>
    </xf>
    <xf numFmtId="0" fontId="10" fillId="2" borderId="29" xfId="4" applyFont="1" applyFill="1" applyBorder="1" applyAlignment="1">
      <alignment horizontal="center" vertical="center"/>
    </xf>
    <xf numFmtId="0" fontId="10" fillId="2" borderId="0" xfId="4" applyFont="1" applyFill="1" applyAlignment="1">
      <alignment horizontal="center" vertical="center"/>
    </xf>
    <xf numFmtId="0" fontId="10" fillId="2" borderId="1" xfId="4" applyFont="1" applyFill="1" applyBorder="1" applyAlignment="1">
      <alignment horizontal="center" vertical="center"/>
    </xf>
    <xf numFmtId="0" fontId="10" fillId="2" borderId="2" xfId="4" applyFont="1" applyFill="1" applyBorder="1" applyAlignment="1">
      <alignment horizontal="center" vertical="center"/>
    </xf>
    <xf numFmtId="0" fontId="10" fillId="2" borderId="12" xfId="4" applyFont="1" applyFill="1" applyBorder="1" applyAlignment="1">
      <alignment horizontal="center" vertical="center"/>
    </xf>
    <xf numFmtId="0" fontId="37" fillId="18" borderId="4" xfId="0" applyFont="1" applyFill="1" applyBorder="1" applyAlignment="1">
      <alignment horizontal="center" vertical="center" wrapText="1"/>
    </xf>
    <xf numFmtId="0" fontId="18" fillId="2" borderId="18" xfId="0" applyFont="1" applyFill="1" applyBorder="1" applyAlignment="1">
      <alignment horizontal="center" vertical="center" wrapText="1"/>
    </xf>
    <xf numFmtId="0" fontId="18" fillId="2" borderId="32" xfId="0" applyFont="1" applyFill="1" applyBorder="1" applyAlignment="1">
      <alignment horizontal="center" vertical="center" wrapText="1"/>
    </xf>
    <xf numFmtId="0" fontId="18" fillId="2" borderId="19" xfId="0" applyFont="1" applyFill="1" applyBorder="1" applyAlignment="1">
      <alignment horizontal="center" vertical="center" wrapText="1"/>
    </xf>
    <xf numFmtId="0" fontId="18" fillId="2" borderId="20" xfId="0" applyFont="1" applyFill="1" applyBorder="1" applyAlignment="1">
      <alignment horizontal="center" vertical="center" wrapText="1"/>
    </xf>
    <xf numFmtId="0" fontId="20" fillId="0" borderId="10" xfId="0" applyFont="1" applyFill="1" applyBorder="1" applyAlignment="1">
      <alignment horizontal="center" vertical="center"/>
    </xf>
    <xf numFmtId="0" fontId="20" fillId="0" borderId="21" xfId="0" applyFont="1" applyFill="1" applyBorder="1" applyAlignment="1">
      <alignment horizontal="center" vertical="center"/>
    </xf>
    <xf numFmtId="0" fontId="20" fillId="13" borderId="26" xfId="0" applyFont="1" applyFill="1" applyBorder="1" applyAlignment="1">
      <alignment horizontal="center" vertical="center"/>
    </xf>
    <xf numFmtId="0" fontId="20" fillId="13" borderId="5" xfId="0" applyFont="1" applyFill="1" applyBorder="1" applyAlignment="1">
      <alignment horizontal="center" vertical="center"/>
    </xf>
    <xf numFmtId="0" fontId="20" fillId="13" borderId="34" xfId="0" applyFont="1" applyFill="1" applyBorder="1" applyAlignment="1">
      <alignment horizontal="center" vertical="center"/>
    </xf>
    <xf numFmtId="0" fontId="20" fillId="13" borderId="4" xfId="0" applyFont="1" applyFill="1" applyBorder="1" applyAlignment="1">
      <alignment horizontal="center" vertical="center"/>
    </xf>
    <xf numFmtId="0" fontId="4" fillId="4" borderId="75" xfId="0" applyFont="1" applyFill="1" applyBorder="1" applyAlignment="1">
      <alignment horizontal="left" vertical="top" wrapText="1"/>
    </xf>
    <xf numFmtId="0" fontId="4" fillId="4" borderId="29" xfId="0" applyFont="1" applyFill="1" applyBorder="1" applyAlignment="1">
      <alignment horizontal="left" vertical="top" wrapText="1"/>
    </xf>
    <xf numFmtId="0" fontId="4" fillId="4" borderId="71" xfId="0" applyFont="1" applyFill="1" applyBorder="1" applyAlignment="1">
      <alignment horizontal="left" vertical="top" wrapText="1"/>
    </xf>
    <xf numFmtId="0" fontId="4" fillId="4" borderId="0" xfId="0" applyFont="1" applyFill="1" applyBorder="1" applyAlignment="1">
      <alignment horizontal="left" vertical="top" wrapText="1"/>
    </xf>
    <xf numFmtId="0" fontId="20" fillId="2" borderId="49" xfId="0" applyFont="1" applyFill="1" applyBorder="1" applyAlignment="1">
      <alignment horizontal="center"/>
    </xf>
    <xf numFmtId="0" fontId="33" fillId="0" borderId="0" xfId="7" applyFont="1" applyAlignment="1">
      <alignment horizontal="center" vertical="center"/>
    </xf>
    <xf numFmtId="0" fontId="34" fillId="0" borderId="60" xfId="7" applyFont="1" applyBorder="1" applyAlignment="1">
      <alignment horizontal="center" vertical="center" wrapText="1"/>
    </xf>
    <xf numFmtId="0" fontId="14" fillId="0" borderId="61" xfId="7" applyFont="1" applyBorder="1" applyAlignment="1">
      <alignment horizontal="center" vertical="center" wrapText="1"/>
    </xf>
    <xf numFmtId="0" fontId="15" fillId="2" borderId="44" xfId="7" applyFont="1" applyFill="1" applyBorder="1" applyAlignment="1">
      <alignment horizontal="center" vertical="center" wrapText="1" readingOrder="1"/>
    </xf>
    <xf numFmtId="0" fontId="11" fillId="18" borderId="18" xfId="0" applyFont="1" applyFill="1" applyBorder="1" applyAlignment="1">
      <alignment horizontal="center" vertical="center" wrapText="1"/>
    </xf>
    <xf numFmtId="0" fontId="11" fillId="18" borderId="19" xfId="0" applyFont="1" applyFill="1" applyBorder="1" applyAlignment="1">
      <alignment horizontal="center" vertical="center" wrapText="1"/>
    </xf>
    <xf numFmtId="0" fontId="11" fillId="18" borderId="20" xfId="0" applyFont="1" applyFill="1" applyBorder="1" applyAlignment="1">
      <alignment horizontal="center" vertical="center" wrapText="1"/>
    </xf>
    <xf numFmtId="0" fontId="15" fillId="2" borderId="19" xfId="7" applyFont="1" applyFill="1" applyBorder="1" applyAlignment="1">
      <alignment horizontal="center" vertical="center" wrapText="1" readingOrder="1"/>
    </xf>
    <xf numFmtId="0" fontId="15" fillId="2" borderId="19" xfId="0" applyFont="1" applyFill="1" applyBorder="1" applyAlignment="1">
      <alignment horizontal="center" vertical="center" wrapText="1" readingOrder="1"/>
    </xf>
    <xf numFmtId="0" fontId="15" fillId="2" borderId="4" xfId="0" applyFont="1" applyFill="1" applyBorder="1" applyAlignment="1">
      <alignment horizontal="center" vertical="center" wrapText="1" readingOrder="1"/>
    </xf>
    <xf numFmtId="0" fontId="15" fillId="2" borderId="44" xfId="7" applyFont="1" applyFill="1" applyBorder="1" applyAlignment="1">
      <alignment horizontal="center" vertical="center" wrapText="1"/>
    </xf>
    <xf numFmtId="0" fontId="16" fillId="0" borderId="44" xfId="7" applyFont="1" applyBorder="1" applyAlignment="1">
      <alignment horizontal="center" vertical="center" wrapText="1" readingOrder="1"/>
    </xf>
    <xf numFmtId="0" fontId="16" fillId="0" borderId="51" xfId="7" applyFont="1" applyBorder="1" applyAlignment="1">
      <alignment horizontal="center" vertical="center" wrapText="1" readingOrder="1"/>
    </xf>
    <xf numFmtId="0" fontId="15" fillId="2" borderId="18" xfId="7" applyFont="1" applyFill="1" applyBorder="1" applyAlignment="1">
      <alignment horizontal="center" vertical="center" wrapText="1"/>
    </xf>
    <xf numFmtId="0" fontId="15" fillId="2" borderId="3" xfId="7" applyFont="1" applyFill="1" applyBorder="1" applyAlignment="1">
      <alignment horizontal="center" vertical="center" wrapText="1"/>
    </xf>
    <xf numFmtId="0" fontId="16" fillId="0" borderId="3" xfId="7" applyFont="1" applyBorder="1" applyAlignment="1">
      <alignment horizontal="center" vertical="center" wrapText="1" readingOrder="1"/>
    </xf>
    <xf numFmtId="0" fontId="16" fillId="0" borderId="26" xfId="7" applyFont="1" applyBorder="1" applyAlignment="1">
      <alignment horizontal="center" vertical="center" wrapText="1" readingOrder="1"/>
    </xf>
    <xf numFmtId="0" fontId="15" fillId="2" borderId="51" xfId="7" applyFont="1" applyFill="1" applyBorder="1" applyAlignment="1">
      <alignment horizontal="center" vertical="center" wrapText="1"/>
    </xf>
    <xf numFmtId="0" fontId="51" fillId="0" borderId="28" xfId="7" applyBorder="1" applyAlignment="1">
      <alignment horizontal="center" vertical="center"/>
    </xf>
    <xf numFmtId="0" fontId="51" fillId="0" borderId="38" xfId="7" applyBorder="1" applyAlignment="1">
      <alignment horizontal="center" vertical="center"/>
    </xf>
    <xf numFmtId="0" fontId="51" fillId="0" borderId="30" xfId="7" applyBorder="1" applyAlignment="1">
      <alignment horizontal="center" vertical="center"/>
    </xf>
    <xf numFmtId="0" fontId="15" fillId="2" borderId="19" xfId="7" applyFont="1" applyFill="1" applyBorder="1" applyAlignment="1">
      <alignment horizontal="center" vertical="center" wrapText="1"/>
    </xf>
    <xf numFmtId="0" fontId="15" fillId="2" borderId="4" xfId="7" applyFont="1" applyFill="1" applyBorder="1" applyAlignment="1">
      <alignment horizontal="center" vertical="center" wrapText="1"/>
    </xf>
    <xf numFmtId="0" fontId="16" fillId="0" borderId="4" xfId="7" applyFont="1" applyBorder="1" applyAlignment="1">
      <alignment horizontal="center" vertical="center" wrapText="1" readingOrder="1"/>
    </xf>
    <xf numFmtId="0" fontId="16" fillId="0" borderId="27" xfId="7" applyFont="1" applyBorder="1" applyAlignment="1">
      <alignment horizontal="center" vertical="center" wrapText="1" readingOrder="1"/>
    </xf>
    <xf numFmtId="0" fontId="51" fillId="0" borderId="63" xfId="7" applyBorder="1" applyAlignment="1">
      <alignment horizontal="center" vertical="center" wrapText="1"/>
    </xf>
    <xf numFmtId="0" fontId="51" fillId="0" borderId="66" xfId="7" applyBorder="1" applyAlignment="1">
      <alignment horizontal="center" vertical="center" wrapText="1"/>
    </xf>
    <xf numFmtId="0" fontId="51" fillId="0" borderId="70" xfId="7" applyBorder="1" applyAlignment="1">
      <alignment horizontal="center" vertical="center" wrapText="1"/>
    </xf>
    <xf numFmtId="0" fontId="16" fillId="0" borderId="4" xfId="0" applyFont="1" applyFill="1" applyBorder="1" applyAlignment="1">
      <alignment horizontal="center" vertical="center" wrapText="1" readingOrder="1"/>
    </xf>
    <xf numFmtId="0" fontId="16" fillId="0" borderId="27" xfId="0" applyFont="1" applyFill="1" applyBorder="1" applyAlignment="1">
      <alignment horizontal="center" vertical="center" wrapText="1" readingOrder="1"/>
    </xf>
    <xf numFmtId="0" fontId="16" fillId="0" borderId="18" xfId="7" applyFont="1" applyBorder="1" applyAlignment="1">
      <alignment horizontal="center" vertical="center" wrapText="1" readingOrder="1"/>
    </xf>
    <xf numFmtId="0" fontId="16" fillId="0" borderId="9" xfId="7" applyFont="1" applyBorder="1" applyAlignment="1">
      <alignment horizontal="center" vertical="center" wrapText="1" readingOrder="1"/>
    </xf>
    <xf numFmtId="0" fontId="16" fillId="0" borderId="18" xfId="7" applyFont="1" applyBorder="1" applyAlignment="1">
      <alignment horizontal="center" vertical="top" wrapText="1" readingOrder="1"/>
    </xf>
    <xf numFmtId="0" fontId="16" fillId="0" borderId="3" xfId="7" applyFont="1" applyBorder="1" applyAlignment="1">
      <alignment horizontal="center" vertical="top" wrapText="1" readingOrder="1"/>
    </xf>
    <xf numFmtId="0" fontId="16" fillId="0" borderId="9" xfId="7" applyFont="1" applyBorder="1" applyAlignment="1">
      <alignment horizontal="center" vertical="top" wrapText="1" readingOrder="1"/>
    </xf>
    <xf numFmtId="0" fontId="15" fillId="2" borderId="27" xfId="0" applyFont="1" applyFill="1" applyBorder="1" applyAlignment="1">
      <alignment horizontal="center" vertical="center" wrapText="1" readingOrder="1"/>
    </xf>
    <xf numFmtId="0" fontId="15" fillId="2" borderId="51" xfId="7" applyFont="1" applyFill="1" applyBorder="1" applyAlignment="1">
      <alignment horizontal="center" vertical="center" wrapText="1" readingOrder="1"/>
    </xf>
    <xf numFmtId="0" fontId="15" fillId="2" borderId="52" xfId="7" applyFont="1" applyFill="1" applyBorder="1" applyAlignment="1">
      <alignment horizontal="center" vertical="center" wrapText="1" readingOrder="1"/>
    </xf>
    <xf numFmtId="0" fontId="3" fillId="0" borderId="3" xfId="0" applyFont="1" applyBorder="1" applyAlignment="1">
      <alignment horizontal="center" vertical="center" wrapText="1"/>
    </xf>
    <xf numFmtId="0" fontId="3" fillId="0" borderId="9" xfId="0" applyFont="1" applyBorder="1" applyAlignment="1">
      <alignment horizontal="center" vertical="center" wrapText="1"/>
    </xf>
    <xf numFmtId="0" fontId="51" fillId="0" borderId="40" xfId="7" applyBorder="1" applyAlignment="1">
      <alignment horizontal="center" vertical="center" wrapText="1"/>
    </xf>
    <xf numFmtId="0" fontId="51" fillId="0" borderId="14" xfId="7" applyBorder="1" applyAlignment="1">
      <alignment horizontal="center" vertical="center" wrapText="1"/>
    </xf>
    <xf numFmtId="0" fontId="51" fillId="0" borderId="62" xfId="7" applyBorder="1" applyAlignment="1">
      <alignment horizontal="center" vertical="center" wrapText="1"/>
    </xf>
    <xf numFmtId="0" fontId="51" fillId="0" borderId="15" xfId="7" applyBorder="1" applyAlignment="1">
      <alignment horizontal="center" vertical="center" wrapText="1"/>
    </xf>
    <xf numFmtId="0" fontId="15" fillId="2" borderId="54" xfId="7" applyFont="1" applyFill="1" applyBorder="1" applyAlignment="1">
      <alignment horizontal="center" vertical="center" wrapText="1" readingOrder="1"/>
    </xf>
    <xf numFmtId="0" fontId="15" fillId="2" borderId="55" xfId="7" applyFont="1" applyFill="1" applyBorder="1" applyAlignment="1">
      <alignment horizontal="center" vertical="center" wrapText="1" readingOrder="1"/>
    </xf>
    <xf numFmtId="0" fontId="15" fillId="2" borderId="56" xfId="7" applyFont="1" applyFill="1" applyBorder="1" applyAlignment="1">
      <alignment horizontal="center" vertical="center" wrapText="1" readingOrder="1"/>
    </xf>
    <xf numFmtId="0" fontId="15" fillId="2" borderId="57" xfId="7" applyFont="1" applyFill="1" applyBorder="1" applyAlignment="1">
      <alignment horizontal="center" vertical="center" wrapText="1" readingOrder="1"/>
    </xf>
    <xf numFmtId="0" fontId="15" fillId="2" borderId="0" xfId="7" applyFont="1" applyFill="1" applyBorder="1" applyAlignment="1">
      <alignment horizontal="center" vertical="center" wrapText="1" readingOrder="1"/>
    </xf>
    <xf numFmtId="0" fontId="15" fillId="2" borderId="58" xfId="7" applyFont="1" applyFill="1" applyBorder="1" applyAlignment="1">
      <alignment horizontal="center" vertical="center" wrapText="1" readingOrder="1"/>
    </xf>
    <xf numFmtId="0" fontId="0" fillId="0" borderId="28" xfId="7" applyFont="1" applyBorder="1" applyAlignment="1">
      <alignment horizontal="center" vertical="center" wrapText="1"/>
    </xf>
    <xf numFmtId="0" fontId="51" fillId="0" borderId="29" xfId="7" applyBorder="1" applyAlignment="1">
      <alignment horizontal="center" vertical="center"/>
    </xf>
    <xf numFmtId="0" fontId="51" fillId="0" borderId="41" xfId="7" applyBorder="1" applyAlignment="1">
      <alignment horizontal="center" vertical="center"/>
    </xf>
    <xf numFmtId="0" fontId="51" fillId="0" borderId="0" xfId="7" applyBorder="1" applyAlignment="1">
      <alignment horizontal="center" vertical="center"/>
    </xf>
    <xf numFmtId="0" fontId="51" fillId="0" borderId="39" xfId="7" applyBorder="1" applyAlignment="1">
      <alignment horizontal="center" vertical="center"/>
    </xf>
    <xf numFmtId="0" fontId="0" fillId="0" borderId="28" xfId="7" applyFont="1" applyBorder="1" applyAlignment="1">
      <alignment horizontal="left" vertical="top" wrapText="1"/>
    </xf>
    <xf numFmtId="0" fontId="51" fillId="0" borderId="29" xfId="7" applyBorder="1" applyAlignment="1">
      <alignment horizontal="left" vertical="top"/>
    </xf>
    <xf numFmtId="0" fontId="51" fillId="0" borderId="41" xfId="7" applyBorder="1" applyAlignment="1">
      <alignment horizontal="left" vertical="top"/>
    </xf>
    <xf numFmtId="0" fontId="51" fillId="0" borderId="30" xfId="7" applyBorder="1" applyAlignment="1">
      <alignment horizontal="left" vertical="top"/>
    </xf>
    <xf numFmtId="0" fontId="51" fillId="0" borderId="31" xfId="7" applyBorder="1" applyAlignment="1">
      <alignment horizontal="left" vertical="top"/>
    </xf>
    <xf numFmtId="0" fontId="51" fillId="0" borderId="42" xfId="7" applyBorder="1" applyAlignment="1">
      <alignment horizontal="left" vertical="top"/>
    </xf>
    <xf numFmtId="0" fontId="0" fillId="0" borderId="28" xfId="7" applyFont="1" applyBorder="1" applyAlignment="1">
      <alignment horizontal="left" vertical="center" wrapText="1"/>
    </xf>
    <xf numFmtId="0" fontId="0" fillId="0" borderId="29" xfId="7" applyFont="1" applyBorder="1" applyAlignment="1">
      <alignment horizontal="left" vertical="center" wrapText="1"/>
    </xf>
    <xf numFmtId="0" fontId="0" fillId="0" borderId="41" xfId="7" applyFont="1" applyBorder="1" applyAlignment="1">
      <alignment horizontal="left" vertical="center" wrapText="1"/>
    </xf>
    <xf numFmtId="0" fontId="0" fillId="0" borderId="30" xfId="7" applyFont="1" applyBorder="1" applyAlignment="1">
      <alignment horizontal="left" vertical="center" wrapText="1"/>
    </xf>
    <xf numFmtId="0" fontId="0" fillId="0" borderId="31" xfId="7" applyFont="1" applyBorder="1" applyAlignment="1">
      <alignment horizontal="left" vertical="center" wrapText="1"/>
    </xf>
    <xf numFmtId="0" fontId="0" fillId="0" borderId="42" xfId="7" applyFont="1" applyBorder="1" applyAlignment="1">
      <alignment horizontal="left" vertical="center" wrapText="1"/>
    </xf>
    <xf numFmtId="0" fontId="15" fillId="2" borderId="20" xfId="7" applyFont="1" applyFill="1" applyBorder="1" applyAlignment="1">
      <alignment horizontal="center" vertical="center" wrapText="1" readingOrder="1"/>
    </xf>
    <xf numFmtId="0" fontId="15" fillId="2" borderId="4" xfId="7" applyFont="1" applyFill="1" applyBorder="1" applyAlignment="1">
      <alignment horizontal="center" vertical="center" wrapText="1" readingOrder="1"/>
    </xf>
    <xf numFmtId="0" fontId="15" fillId="2" borderId="13" xfId="7" applyFont="1" applyFill="1" applyBorder="1" applyAlignment="1">
      <alignment horizontal="center" vertical="center" wrapText="1" readingOrder="1"/>
    </xf>
    <xf numFmtId="0" fontId="0" fillId="0" borderId="4" xfId="7" applyFont="1" applyBorder="1" applyAlignment="1">
      <alignment horizontal="center" vertical="center" wrapText="1"/>
    </xf>
    <xf numFmtId="0" fontId="0" fillId="0" borderId="13" xfId="7" applyFont="1" applyBorder="1" applyAlignment="1">
      <alignment horizontal="center" vertical="center" wrapText="1"/>
    </xf>
    <xf numFmtId="0" fontId="0" fillId="0" borderId="27" xfId="7" applyFont="1" applyBorder="1" applyAlignment="1">
      <alignment horizontal="center" vertical="center" wrapText="1"/>
    </xf>
    <xf numFmtId="0" fontId="0" fillId="0" borderId="40" xfId="7" applyFont="1" applyBorder="1" applyAlignment="1">
      <alignment horizontal="center" vertical="center" wrapText="1"/>
    </xf>
    <xf numFmtId="0" fontId="16" fillId="0" borderId="18" xfId="7" applyFont="1" applyBorder="1" applyAlignment="1">
      <alignment horizontal="left" vertical="top" wrapText="1" readingOrder="1"/>
    </xf>
    <xf numFmtId="0" fontId="16" fillId="0" borderId="19" xfId="7" applyFont="1" applyBorder="1" applyAlignment="1">
      <alignment horizontal="left" vertical="top" wrapText="1" readingOrder="1"/>
    </xf>
    <xf numFmtId="0" fontId="16" fillId="0" borderId="20" xfId="7" applyFont="1" applyBorder="1" applyAlignment="1">
      <alignment horizontal="left" vertical="top" wrapText="1" readingOrder="1"/>
    </xf>
    <xf numFmtId="0" fontId="16" fillId="0" borderId="9" xfId="7" applyFont="1" applyBorder="1" applyAlignment="1">
      <alignment horizontal="left" vertical="top" wrapText="1" readingOrder="1"/>
    </xf>
    <xf numFmtId="0" fontId="16" fillId="0" borderId="10" xfId="7" applyFont="1" applyBorder="1" applyAlignment="1">
      <alignment horizontal="left" vertical="top" wrapText="1" readingOrder="1"/>
    </xf>
    <xf numFmtId="0" fontId="16" fillId="0" borderId="21" xfId="7" applyFont="1" applyBorder="1" applyAlignment="1">
      <alignment horizontal="left" vertical="top" wrapText="1" readingOrder="1"/>
    </xf>
    <xf numFmtId="0" fontId="15" fillId="2" borderId="71" xfId="7" applyFont="1" applyFill="1" applyBorder="1" applyAlignment="1">
      <alignment horizontal="center" vertical="center" wrapText="1" readingOrder="1"/>
    </xf>
    <xf numFmtId="0" fontId="36" fillId="0" borderId="28" xfId="7" applyFont="1" applyBorder="1" applyAlignment="1">
      <alignment horizontal="center" vertical="center" wrapText="1"/>
    </xf>
    <xf numFmtId="0" fontId="51" fillId="0" borderId="31" xfId="7" applyBorder="1" applyAlignment="1">
      <alignment horizontal="center" vertical="center"/>
    </xf>
    <xf numFmtId="0" fontId="51" fillId="0" borderId="42" xfId="7" applyBorder="1" applyAlignment="1">
      <alignment horizontal="center" vertical="center"/>
    </xf>
    <xf numFmtId="0" fontId="20" fillId="18" borderId="0" xfId="6" applyFont="1" applyFill="1" applyAlignment="1">
      <alignment horizontal="center" vertical="center" wrapText="1"/>
    </xf>
    <xf numFmtId="0" fontId="30" fillId="17" borderId="4" xfId="6" applyFont="1" applyFill="1" applyBorder="1" applyAlignment="1">
      <alignment horizontal="center" vertical="center" wrapText="1"/>
    </xf>
    <xf numFmtId="0" fontId="20" fillId="18" borderId="4" xfId="6" applyFont="1" applyFill="1" applyBorder="1" applyAlignment="1">
      <alignment horizontal="center" vertical="center" wrapText="1"/>
    </xf>
    <xf numFmtId="0" fontId="29" fillId="0" borderId="4" xfId="6" applyFont="1" applyBorder="1" applyAlignment="1">
      <alignment horizontal="center" vertical="center" wrapText="1"/>
    </xf>
    <xf numFmtId="0" fontId="5" fillId="0" borderId="0" xfId="6" applyFont="1" applyFill="1" applyBorder="1" applyAlignment="1">
      <alignment horizontal="center" vertical="center" wrapText="1"/>
    </xf>
    <xf numFmtId="0" fontId="5" fillId="0" borderId="27" xfId="6" applyFont="1" applyBorder="1" applyAlignment="1">
      <alignment horizontal="center" vertical="center" wrapText="1"/>
    </xf>
    <xf numFmtId="0" fontId="5" fillId="0" borderId="59" xfId="6" applyFont="1" applyBorder="1" applyAlignment="1">
      <alignment horizontal="center" vertical="center" wrapText="1"/>
    </xf>
    <xf numFmtId="0" fontId="5" fillId="0" borderId="6" xfId="6" applyFont="1" applyBorder="1" applyAlignment="1">
      <alignment horizontal="center" vertical="center" wrapText="1"/>
    </xf>
    <xf numFmtId="0" fontId="30" fillId="0" borderId="4" xfId="6" applyFont="1" applyBorder="1" applyAlignment="1">
      <alignment horizontal="center" vertical="center" wrapText="1"/>
    </xf>
    <xf numFmtId="0" fontId="5" fillId="0" borderId="4" xfId="6" applyFont="1" applyBorder="1" applyAlignment="1">
      <alignment horizontal="center" vertical="center" wrapText="1"/>
    </xf>
    <xf numFmtId="0" fontId="30" fillId="19" borderId="4" xfId="6" applyFont="1" applyFill="1" applyBorder="1" applyAlignment="1">
      <alignment horizontal="center" vertical="center" wrapText="1"/>
    </xf>
    <xf numFmtId="0" fontId="29" fillId="19" borderId="4" xfId="6" applyFont="1" applyFill="1" applyBorder="1" applyAlignment="1">
      <alignment horizontal="center" vertical="center" wrapText="1"/>
    </xf>
    <xf numFmtId="0" fontId="31" fillId="0" borderId="4" xfId="6" applyFont="1" applyBorder="1" applyAlignment="1">
      <alignment horizontal="center" vertical="center" wrapText="1"/>
    </xf>
    <xf numFmtId="0" fontId="31" fillId="19" borderId="4" xfId="6" applyFont="1" applyFill="1" applyBorder="1" applyAlignment="1">
      <alignment horizontal="center" vertical="center" wrapText="1"/>
    </xf>
    <xf numFmtId="0" fontId="0" fillId="0" borderId="4" xfId="6" applyFont="1" applyBorder="1" applyAlignment="1">
      <alignment vertical="center" wrapText="1"/>
    </xf>
    <xf numFmtId="43" fontId="5" fillId="0" borderId="27" xfId="1" applyFont="1" applyFill="1" applyBorder="1" applyAlignment="1">
      <alignment horizontal="center" vertical="center" wrapText="1"/>
    </xf>
    <xf numFmtId="43" fontId="5" fillId="0" borderId="59" xfId="1" applyFont="1" applyFill="1" applyBorder="1" applyAlignment="1">
      <alignment horizontal="center" vertical="center" wrapText="1"/>
    </xf>
    <xf numFmtId="43" fontId="5" fillId="0" borderId="6" xfId="1" applyFont="1" applyFill="1" applyBorder="1" applyAlignment="1">
      <alignment horizontal="center" vertical="center" wrapText="1"/>
    </xf>
    <xf numFmtId="0" fontId="32" fillId="0" borderId="4" xfId="6" applyFont="1" applyBorder="1" applyAlignment="1">
      <alignment vertical="center" wrapText="1"/>
    </xf>
    <xf numFmtId="0" fontId="15" fillId="0" borderId="4" xfId="6" applyFont="1" applyBorder="1" applyAlignment="1">
      <alignment horizontal="center" vertical="center" wrapText="1"/>
    </xf>
    <xf numFmtId="0" fontId="15" fillId="0" borderId="4" xfId="6" applyFont="1" applyBorder="1" applyAlignment="1">
      <alignment horizontal="left" vertical="center" wrapText="1"/>
    </xf>
    <xf numFmtId="0" fontId="20" fillId="18" borderId="4" xfId="0" applyFont="1" applyFill="1" applyBorder="1" applyAlignment="1">
      <alignment horizontal="center" vertical="center"/>
    </xf>
    <xf numFmtId="0" fontId="4" fillId="13" borderId="4" xfId="0" applyFont="1" applyFill="1" applyBorder="1" applyAlignment="1">
      <alignment horizontal="left" vertical="center" wrapText="1"/>
    </xf>
    <xf numFmtId="0" fontId="4" fillId="13" borderId="4" xfId="0" applyFont="1" applyFill="1" applyBorder="1" applyAlignment="1">
      <alignment horizontal="left" vertical="center"/>
    </xf>
    <xf numFmtId="0" fontId="20" fillId="2" borderId="18" xfId="0" applyFont="1" applyFill="1" applyBorder="1" applyAlignment="1">
      <alignment horizontal="center"/>
    </xf>
    <xf numFmtId="0" fontId="20" fillId="2" borderId="19" xfId="0" applyFont="1" applyFill="1" applyBorder="1" applyAlignment="1">
      <alignment horizontal="center"/>
    </xf>
    <xf numFmtId="0" fontId="20" fillId="2" borderId="20" xfId="0" applyFont="1" applyFill="1" applyBorder="1" applyAlignment="1">
      <alignment horizontal="center"/>
    </xf>
    <xf numFmtId="0" fontId="24" fillId="17" borderId="4" xfId="0" applyFont="1" applyFill="1" applyBorder="1" applyAlignment="1">
      <alignment horizontal="center" vertical="center" wrapText="1"/>
    </xf>
    <xf numFmtId="0" fontId="24" fillId="17" borderId="3" xfId="0" applyFont="1" applyFill="1" applyBorder="1" applyAlignment="1">
      <alignment horizontal="center" vertical="center" wrapText="1"/>
    </xf>
    <xf numFmtId="0" fontId="25" fillId="0" borderId="3" xfId="0" applyFont="1" applyFill="1" applyBorder="1" applyAlignment="1">
      <alignment vertical="center" wrapText="1"/>
    </xf>
    <xf numFmtId="0" fontId="16" fillId="0" borderId="4" xfId="0" applyFont="1" applyBorder="1" applyAlignment="1">
      <alignment horizontal="center" vertical="center" wrapText="1"/>
    </xf>
    <xf numFmtId="0" fontId="24" fillId="17" borderId="13" xfId="0" applyFont="1" applyFill="1" applyBorder="1" applyAlignment="1">
      <alignment horizontal="center" vertical="center" wrapText="1"/>
    </xf>
    <xf numFmtId="0" fontId="16" fillId="0" borderId="27" xfId="0" applyFont="1" applyBorder="1" applyAlignment="1">
      <alignment horizontal="center" vertical="center" wrapText="1"/>
    </xf>
    <xf numFmtId="0" fontId="16" fillId="0" borderId="6" xfId="0" applyFont="1" applyBorder="1" applyAlignment="1">
      <alignment horizontal="center" vertical="center" wrapText="1"/>
    </xf>
    <xf numFmtId="0" fontId="26" fillId="0" borderId="3" xfId="7" applyFont="1" applyBorder="1" applyAlignment="1">
      <alignment horizontal="left" vertical="top" wrapText="1"/>
    </xf>
    <xf numFmtId="0" fontId="26" fillId="0" borderId="4" xfId="7" applyFont="1" applyBorder="1" applyAlignment="1">
      <alignment horizontal="left" vertical="top" wrapText="1"/>
    </xf>
    <xf numFmtId="0" fontId="26" fillId="0" borderId="13" xfId="7" applyFont="1" applyBorder="1" applyAlignment="1">
      <alignment horizontal="left" vertical="top" wrapText="1"/>
    </xf>
    <xf numFmtId="0" fontId="26" fillId="0" borderId="9" xfId="7" applyFont="1" applyBorder="1" applyAlignment="1">
      <alignment horizontal="left" vertical="top" wrapText="1"/>
    </xf>
    <xf numFmtId="0" fontId="26" fillId="0" borderId="10" xfId="7" applyFont="1" applyBorder="1" applyAlignment="1">
      <alignment horizontal="left" vertical="top" wrapText="1"/>
    </xf>
    <xf numFmtId="0" fontId="26" fillId="0" borderId="21" xfId="7" applyFont="1" applyBorder="1" applyAlignment="1">
      <alignment horizontal="left" vertical="top" wrapText="1"/>
    </xf>
    <xf numFmtId="0" fontId="6" fillId="0" borderId="0" xfId="0" applyFont="1" applyFill="1" applyBorder="1" applyAlignment="1">
      <alignment horizontal="center" vertical="center" wrapText="1"/>
    </xf>
    <xf numFmtId="0" fontId="10" fillId="2" borderId="18" xfId="4" applyFont="1" applyFill="1" applyBorder="1" applyAlignment="1">
      <alignment horizontal="center" vertical="center"/>
    </xf>
    <xf numFmtId="0" fontId="10" fillId="2" borderId="19" xfId="4" applyFont="1" applyFill="1" applyBorder="1" applyAlignment="1">
      <alignment horizontal="center" vertical="center"/>
    </xf>
    <xf numFmtId="0" fontId="10" fillId="2" borderId="20" xfId="4" applyFont="1" applyFill="1" applyBorder="1" applyAlignment="1">
      <alignment horizontal="center" vertical="center"/>
    </xf>
    <xf numFmtId="0" fontId="10" fillId="2" borderId="3" xfId="4" applyFont="1" applyFill="1" applyBorder="1" applyAlignment="1">
      <alignment horizontal="center" vertical="center"/>
    </xf>
    <xf numFmtId="0" fontId="10" fillId="2" borderId="13" xfId="4" applyFont="1" applyFill="1" applyBorder="1" applyAlignment="1">
      <alignment horizontal="center" vertical="center"/>
    </xf>
    <xf numFmtId="0" fontId="13" fillId="4" borderId="23" xfId="0" applyFont="1" applyFill="1" applyBorder="1" applyAlignment="1">
      <alignment horizontal="left" vertical="center" wrapText="1"/>
    </xf>
    <xf numFmtId="0" fontId="14" fillId="4" borderId="24" xfId="0" applyFont="1" applyFill="1" applyBorder="1" applyAlignment="1">
      <alignment horizontal="left" vertical="center"/>
    </xf>
    <xf numFmtId="0" fontId="14" fillId="4" borderId="25" xfId="0" applyFont="1" applyFill="1" applyBorder="1" applyAlignment="1">
      <alignment horizontal="left" vertical="center"/>
    </xf>
    <xf numFmtId="0" fontId="4" fillId="4" borderId="28" xfId="0" applyFont="1" applyFill="1" applyBorder="1" applyAlignment="1">
      <alignment horizontal="left" vertical="center" wrapText="1"/>
    </xf>
    <xf numFmtId="0" fontId="4" fillId="4" borderId="29" xfId="0" applyFont="1" applyFill="1" applyBorder="1" applyAlignment="1">
      <alignment horizontal="left" vertical="center" wrapText="1"/>
    </xf>
    <xf numFmtId="0" fontId="20" fillId="13" borderId="35" xfId="0" applyFont="1" applyFill="1" applyBorder="1" applyAlignment="1">
      <alignment horizontal="center" vertical="center"/>
    </xf>
    <xf numFmtId="0" fontId="20" fillId="13" borderId="38" xfId="0" applyFont="1" applyFill="1" applyBorder="1" applyAlignment="1">
      <alignment horizontal="center" vertical="center"/>
    </xf>
    <xf numFmtId="0" fontId="20" fillId="13" borderId="36" xfId="0" applyFont="1" applyFill="1" applyBorder="1" applyAlignment="1">
      <alignment horizontal="center" vertical="center"/>
    </xf>
    <xf numFmtId="0" fontId="20" fillId="13" borderId="0" xfId="0" applyFont="1" applyFill="1" applyAlignment="1">
      <alignment horizontal="center" vertical="center"/>
    </xf>
    <xf numFmtId="0" fontId="15" fillId="2" borderId="20" xfId="0" applyFont="1" applyFill="1" applyBorder="1" applyAlignment="1">
      <alignment horizontal="center" vertical="center" wrapText="1" readingOrder="1"/>
    </xf>
    <xf numFmtId="0" fontId="15" fillId="2" borderId="13" xfId="0" applyFont="1" applyFill="1" applyBorder="1" applyAlignment="1">
      <alignment horizontal="center" vertical="center" wrapText="1" readingOrder="1"/>
    </xf>
    <xf numFmtId="0" fontId="20" fillId="0" borderId="36" xfId="0" applyFont="1" applyFill="1" applyBorder="1" applyAlignment="1">
      <alignment horizontal="center" vertical="center"/>
    </xf>
    <xf numFmtId="0" fontId="20" fillId="0" borderId="37" xfId="0" applyFont="1" applyFill="1" applyBorder="1" applyAlignment="1">
      <alignment horizontal="center" vertical="center"/>
    </xf>
    <xf numFmtId="0" fontId="20" fillId="0" borderId="0" xfId="0" applyFont="1" applyFill="1" applyAlignment="1">
      <alignment horizontal="center" vertical="center"/>
    </xf>
    <xf numFmtId="0" fontId="20" fillId="0" borderId="39" xfId="0" applyFont="1" applyFill="1" applyBorder="1" applyAlignment="1">
      <alignment horizontal="center" vertical="center"/>
    </xf>
    <xf numFmtId="0" fontId="15" fillId="0" borderId="0" xfId="7" applyFont="1" applyFill="1" applyBorder="1" applyAlignment="1">
      <alignment horizontal="center" vertical="center" wrapText="1" readingOrder="1"/>
    </xf>
    <xf numFmtId="0" fontId="0" fillId="0" borderId="0" xfId="7" applyFont="1" applyFill="1" applyBorder="1" applyAlignment="1">
      <alignment horizontal="center" vertical="center" wrapText="1"/>
    </xf>
    <xf numFmtId="0" fontId="16" fillId="0" borderId="28" xfId="7" applyFont="1" applyBorder="1" applyAlignment="1">
      <alignment horizontal="left" vertical="top" wrapText="1" readingOrder="1"/>
    </xf>
    <xf numFmtId="0" fontId="16" fillId="0" borderId="29" xfId="7" applyFont="1" applyBorder="1" applyAlignment="1">
      <alignment horizontal="left" vertical="top" wrapText="1" readingOrder="1"/>
    </xf>
    <xf numFmtId="0" fontId="16" fillId="0" borderId="41" xfId="7" applyFont="1" applyBorder="1" applyAlignment="1">
      <alignment horizontal="left" vertical="top" wrapText="1" readingOrder="1"/>
    </xf>
    <xf numFmtId="0" fontId="16" fillId="0" borderId="30" xfId="7" applyFont="1" applyBorder="1" applyAlignment="1">
      <alignment horizontal="left" vertical="top" wrapText="1" readingOrder="1"/>
    </xf>
    <xf numFmtId="0" fontId="16" fillId="0" borderId="31" xfId="7" applyFont="1" applyBorder="1" applyAlignment="1">
      <alignment horizontal="left" vertical="top" wrapText="1" readingOrder="1"/>
    </xf>
    <xf numFmtId="0" fontId="16" fillId="0" borderId="42" xfId="7" applyFont="1" applyBorder="1" applyAlignment="1">
      <alignment horizontal="left" vertical="top" wrapText="1" readingOrder="1"/>
    </xf>
    <xf numFmtId="0" fontId="4" fillId="4" borderId="16" xfId="0" applyFont="1" applyFill="1" applyBorder="1" applyAlignment="1">
      <alignment horizontal="center" vertical="center"/>
    </xf>
    <xf numFmtId="0" fontId="4" fillId="4" borderId="17" xfId="0" applyFont="1" applyFill="1" applyBorder="1" applyAlignment="1">
      <alignment horizontal="center" vertical="center"/>
    </xf>
    <xf numFmtId="0" fontId="4" fillId="4" borderId="22" xfId="0" applyFont="1" applyFill="1" applyBorder="1" applyAlignment="1">
      <alignment horizontal="center" vertical="center"/>
    </xf>
    <xf numFmtId="0" fontId="0" fillId="0" borderId="0" xfId="0" applyFill="1" applyAlignment="1">
      <alignment horizontal="left" vertical="center"/>
    </xf>
    <xf numFmtId="0" fontId="1" fillId="2" borderId="1"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1" fillId="2" borderId="12" xfId="0" applyFont="1" applyFill="1" applyBorder="1" applyAlignment="1">
      <alignment horizontal="center" vertical="center" wrapText="1"/>
    </xf>
    <xf numFmtId="0" fontId="2" fillId="3" borderId="3" xfId="0" applyFont="1" applyFill="1" applyBorder="1" applyAlignment="1">
      <alignment horizontal="center" vertical="center" wrapText="1" readingOrder="1"/>
    </xf>
    <xf numFmtId="0" fontId="3" fillId="0" borderId="5" xfId="0" applyFont="1" applyBorder="1" applyAlignment="1">
      <alignment vertical="center" wrapText="1"/>
    </xf>
    <xf numFmtId="0" fontId="3" fillId="0" borderId="3" xfId="0" applyFont="1" applyBorder="1" applyAlignment="1">
      <alignment vertical="center" wrapText="1"/>
    </xf>
    <xf numFmtId="0" fontId="3" fillId="0" borderId="9" xfId="0" applyFont="1" applyBorder="1" applyAlignment="1">
      <alignment vertical="center" wrapText="1"/>
    </xf>
    <xf numFmtId="0" fontId="2" fillId="3" borderId="4" xfId="0" applyFont="1" applyFill="1" applyBorder="1" applyAlignment="1">
      <alignment horizontal="center" vertical="center" wrapText="1" readingOrder="1"/>
    </xf>
    <xf numFmtId="0" fontId="2" fillId="3" borderId="13" xfId="0" applyFont="1" applyFill="1" applyBorder="1" applyAlignment="1">
      <alignment horizontal="center" vertical="center" wrapText="1" readingOrder="1"/>
    </xf>
    <xf numFmtId="0" fontId="4" fillId="0" borderId="14" xfId="0" applyFont="1" applyBorder="1" applyAlignment="1">
      <alignment horizontal="center" vertical="center" wrapText="1"/>
    </xf>
    <xf numFmtId="0" fontId="5" fillId="0" borderId="14" xfId="0" applyFont="1" applyBorder="1" applyAlignment="1">
      <alignment horizontal="center" vertical="center"/>
    </xf>
    <xf numFmtId="0" fontId="5" fillId="0" borderId="15" xfId="0" applyFont="1" applyBorder="1" applyAlignment="1">
      <alignment horizontal="center" vertical="center"/>
    </xf>
  </cellXfs>
  <cellStyles count="8">
    <cellStyle name="百分比 2" xfId="3"/>
    <cellStyle name="常规" xfId="0" builtinId="0"/>
    <cellStyle name="常规 2" xfId="4"/>
    <cellStyle name="常规 3" xfId="5"/>
    <cellStyle name="常规 4" xfId="6"/>
    <cellStyle name="常规 5" xfId="7"/>
    <cellStyle name="超链接" xfId="2" builtinId="8"/>
    <cellStyle name="千位分隔" xfId="1" builtinId="3"/>
  </cellStyles>
  <dxfs count="0"/>
  <tableStyles count="1" defaultTableStyle="TableStyleMedium2" defaultPivotStyle="PivotStyleLight16">
    <tableStyle name="Invisible" pivot="0" table="0" count="0"/>
  </tableStyles>
  <colors>
    <mruColors>
      <color rgb="FFFFC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oneCellAnchor>
    <xdr:from>
      <xdr:col>4</xdr:col>
      <xdr:colOff>0</xdr:colOff>
      <xdr:row>16</xdr:row>
      <xdr:rowOff>179923</xdr:rowOff>
    </xdr:from>
    <xdr:ext cx="9211789" cy="965048"/>
    <xdr:sp macro="" textlink="">
      <xdr:nvSpPr>
        <xdr:cNvPr id="4" name="矩形 3"/>
        <xdr:cNvSpPr/>
      </xdr:nvSpPr>
      <xdr:spPr>
        <a:xfrm rot="19237802">
          <a:off x="15671800" y="3596005"/>
          <a:ext cx="9211310" cy="965200"/>
        </a:xfrm>
        <a:prstGeom prst="rect">
          <a:avLst/>
        </a:prstGeom>
        <a:noFill/>
        <a:effectLst/>
      </xdr:spPr>
      <xdr:txBody>
        <a:bodyPr wrap="square" lIns="91440" tIns="45720" rIns="91440" bIns="45720">
          <a:noAutofit/>
        </a:bodyPr>
        <a:lstStyle/>
        <a:p>
          <a:pPr algn="ctr"/>
          <a:r>
            <a:rPr lang="zh-CN" altLang="en-US" sz="5400" b="1" cap="none" spc="0">
              <a:ln w="12700">
                <a:noFill/>
                <a:prstDash val="solid"/>
              </a:ln>
              <a:solidFill>
                <a:schemeClr val="tx2">
                  <a:alpha val="33000"/>
                </a:schemeClr>
              </a:solidFill>
              <a:effectLst/>
            </a:rPr>
            <a:t>仅供中国移动内部使用</a:t>
          </a: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0</xdr:col>
      <xdr:colOff>89535</xdr:colOff>
      <xdr:row>7</xdr:row>
      <xdr:rowOff>185420</xdr:rowOff>
    </xdr:from>
    <xdr:ext cx="7515085" cy="1031240"/>
    <xdr:sp macro="" textlink="">
      <xdr:nvSpPr>
        <xdr:cNvPr id="2" name="矩形 1"/>
        <xdr:cNvSpPr/>
      </xdr:nvSpPr>
      <xdr:spPr>
        <a:xfrm rot="19780304">
          <a:off x="89535" y="1820545"/>
          <a:ext cx="7514590" cy="1031240"/>
        </a:xfrm>
        <a:prstGeom prst="rect">
          <a:avLst/>
        </a:prstGeom>
        <a:noFill/>
        <a:effectLst/>
      </xdr:spPr>
      <xdr:txBody>
        <a:bodyPr wrap="square" lIns="91440" tIns="45720" rIns="91440" bIns="45720" anchor="ctr">
          <a:noAutofit/>
        </a:bodyPr>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a:r>
            <a:rPr lang="zh-CN" altLang="en-US" sz="3600" b="1" cap="none" spc="0">
              <a:ln w="12700">
                <a:noFill/>
                <a:prstDash val="solid"/>
              </a:ln>
              <a:solidFill>
                <a:schemeClr val="tx2">
                  <a:alpha val="33000"/>
                </a:schemeClr>
              </a:solidFill>
              <a:effectLst/>
            </a:rPr>
            <a:t>仅供中国移动内部使用</a:t>
          </a:r>
        </a:p>
      </xdr:txBody>
    </xdr:sp>
    <xdr:clientData/>
  </xdr:oneCellAnchor>
  <xdr:oneCellAnchor>
    <xdr:from>
      <xdr:col>1</xdr:col>
      <xdr:colOff>414655</xdr:colOff>
      <xdr:row>12</xdr:row>
      <xdr:rowOff>155575</xdr:rowOff>
    </xdr:from>
    <xdr:ext cx="6081395" cy="1015365"/>
    <xdr:sp macro="" textlink="">
      <xdr:nvSpPr>
        <xdr:cNvPr id="3" name="矩形 2"/>
        <xdr:cNvSpPr/>
      </xdr:nvSpPr>
      <xdr:spPr>
        <a:xfrm rot="19780304">
          <a:off x="1057910" y="4940300"/>
          <a:ext cx="6081395" cy="1015365"/>
        </a:xfrm>
        <a:prstGeom prst="rect">
          <a:avLst/>
        </a:prstGeom>
        <a:noFill/>
        <a:effectLst/>
      </xdr:spPr>
      <xdr:txBody>
        <a:bodyPr wrap="square" lIns="91440" tIns="45720" rIns="91440" bIns="45720">
          <a:noAutofit/>
        </a:bodyPr>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a:r>
            <a:rPr lang="zh-CN" altLang="en-US" sz="3600" b="1" cap="none" spc="0">
              <a:ln w="12700">
                <a:noFill/>
                <a:prstDash val="solid"/>
              </a:ln>
              <a:solidFill>
                <a:schemeClr val="tx2">
                  <a:alpha val="33000"/>
                </a:schemeClr>
              </a:solidFill>
              <a:effectLst/>
            </a:rPr>
            <a:t>仅供中国移动内部使用</a:t>
          </a:r>
        </a:p>
      </xdr:txBody>
    </xdr:sp>
    <xdr:clientData/>
  </xdr:oneCellAnchor>
  <xdr:oneCellAnchor>
    <xdr:from>
      <xdr:col>3</xdr:col>
      <xdr:colOff>151130</xdr:colOff>
      <xdr:row>7</xdr:row>
      <xdr:rowOff>186055</xdr:rowOff>
    </xdr:from>
    <xdr:ext cx="7515225" cy="1031240"/>
    <xdr:sp macro="" textlink="">
      <xdr:nvSpPr>
        <xdr:cNvPr id="5" name="矩形 4"/>
        <xdr:cNvSpPr/>
      </xdr:nvSpPr>
      <xdr:spPr>
        <a:xfrm rot="19780304">
          <a:off x="6490335" y="1821180"/>
          <a:ext cx="7515225" cy="1031240"/>
        </a:xfrm>
        <a:prstGeom prst="rect">
          <a:avLst/>
        </a:prstGeom>
        <a:noFill/>
        <a:effectLst/>
      </xdr:spPr>
      <xdr:txBody>
        <a:bodyPr wrap="square" lIns="91440" tIns="45720" rIns="91440" bIns="45720" anchor="ctr">
          <a:noAutofit/>
        </a:bodyPr>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a:r>
            <a:rPr lang="zh-CN" altLang="en-US" sz="3600" b="1" cap="none" spc="0">
              <a:ln w="12700">
                <a:noFill/>
                <a:prstDash val="solid"/>
              </a:ln>
              <a:solidFill>
                <a:schemeClr val="tx2">
                  <a:alpha val="33000"/>
                </a:schemeClr>
              </a:solidFill>
              <a:effectLst/>
            </a:rPr>
            <a:t>仅供中国移动内部使用</a:t>
          </a: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0</xdr:col>
      <xdr:colOff>598170</xdr:colOff>
      <xdr:row>39</xdr:row>
      <xdr:rowOff>135890</xdr:rowOff>
    </xdr:from>
    <xdr:to>
      <xdr:col>16</xdr:col>
      <xdr:colOff>65314</xdr:colOff>
      <xdr:row>60</xdr:row>
      <xdr:rowOff>76200</xdr:rowOff>
    </xdr:to>
    <xdr:sp macro="" textlink="">
      <xdr:nvSpPr>
        <xdr:cNvPr id="3" name="矩形 2"/>
        <xdr:cNvSpPr/>
      </xdr:nvSpPr>
      <xdr:spPr>
        <a:xfrm>
          <a:off x="598170" y="14733905"/>
          <a:ext cx="19834860" cy="3674110"/>
        </a:xfrm>
        <a:prstGeom prst="rect">
          <a:avLst/>
        </a:prstGeom>
        <a:solidFill>
          <a:schemeClr val="bg2"/>
        </a:solidFill>
      </xdr:spPr>
      <xdr:txBody>
        <a:bodyPr wrap="square"/>
        <a:lstStyle>
          <a:defPPr>
            <a:defRPr lang="zh-CN"/>
          </a:defPPr>
          <a:lvl1pPr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1pPr>
          <a:lvl2pPr marL="457200"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2pPr>
          <a:lvl3pPr marL="914400"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3pPr>
          <a:lvl4pPr marL="1371600"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4pPr>
          <a:lvl5pPr marL="1828800"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5pPr>
          <a:lvl6pPr marL="2286000" algn="l" defTabSz="914400" rtl="0" eaLnBrk="1" latinLnBrk="0" hangingPunct="1">
            <a:defRPr kern="1200">
              <a:solidFill>
                <a:schemeClr val="tx1"/>
              </a:solidFill>
              <a:latin typeface="Arial" panose="020B0604020202020204" pitchFamily="7" charset="0"/>
              <a:ea typeface="宋体" panose="02010600030101010101" pitchFamily="7" charset="-122"/>
              <a:cs typeface="+mn-cs"/>
            </a:defRPr>
          </a:lvl6pPr>
          <a:lvl7pPr marL="2743200" algn="l" defTabSz="914400" rtl="0" eaLnBrk="1" latinLnBrk="0" hangingPunct="1">
            <a:defRPr kern="1200">
              <a:solidFill>
                <a:schemeClr val="tx1"/>
              </a:solidFill>
              <a:latin typeface="Arial" panose="020B0604020202020204" pitchFamily="7" charset="0"/>
              <a:ea typeface="宋体" panose="02010600030101010101" pitchFamily="7" charset="-122"/>
              <a:cs typeface="+mn-cs"/>
            </a:defRPr>
          </a:lvl7pPr>
          <a:lvl8pPr marL="3200400" algn="l" defTabSz="914400" rtl="0" eaLnBrk="1" latinLnBrk="0" hangingPunct="1">
            <a:defRPr kern="1200">
              <a:solidFill>
                <a:schemeClr val="tx1"/>
              </a:solidFill>
              <a:latin typeface="Arial" panose="020B0604020202020204" pitchFamily="7" charset="0"/>
              <a:ea typeface="宋体" panose="02010600030101010101" pitchFamily="7" charset="-122"/>
              <a:cs typeface="+mn-cs"/>
            </a:defRPr>
          </a:lvl8pPr>
          <a:lvl9pPr marL="3657600" algn="l" defTabSz="914400" rtl="0" eaLnBrk="1" latinLnBrk="0" hangingPunct="1">
            <a:defRPr kern="1200">
              <a:solidFill>
                <a:schemeClr val="tx1"/>
              </a:solidFill>
              <a:latin typeface="Arial" panose="020B0604020202020204" pitchFamily="7" charset="0"/>
              <a:ea typeface="宋体" panose="02010600030101010101" pitchFamily="7" charset="-122"/>
              <a:cs typeface="+mn-cs"/>
            </a:defRPr>
          </a:lvl9pPr>
        </a:lstStyle>
        <a:p>
          <a:pPr marL="467995" indent="-457200">
            <a:lnSpc>
              <a:spcPct val="120000"/>
            </a:lnSpc>
            <a:buFont typeface="Wingdings" panose="05000000000000000000" pitchFamily="2" charset="2"/>
            <a:buChar char="p"/>
          </a:pPr>
          <a:r>
            <a:rPr lang="zh-CN" altLang="zh-CN" sz="1200" b="1">
              <a:solidFill>
                <a:srgbClr val="000000"/>
              </a:solidFill>
              <a:latin typeface="微软雅黑" panose="020B0503020204020204" pitchFamily="34" charset="-122"/>
              <a:ea typeface="微软雅黑" panose="020B0503020204020204" pitchFamily="34" charset="-122"/>
            </a:rPr>
            <a:t>封顶</a:t>
          </a:r>
          <a:r>
            <a:rPr lang="zh-CN" altLang="en-US" sz="1200" b="1">
              <a:solidFill>
                <a:srgbClr val="000000"/>
              </a:solidFill>
              <a:latin typeface="微软雅黑" panose="020B0503020204020204" pitchFamily="34" charset="-122"/>
              <a:ea typeface="微软雅黑" panose="020B0503020204020204" pitchFamily="34" charset="-122"/>
            </a:rPr>
            <a:t>规则</a:t>
          </a:r>
          <a:r>
            <a:rPr lang="zh-CN" altLang="zh-CN" sz="1200" b="1">
              <a:solidFill>
                <a:srgbClr val="000000"/>
              </a:solidFill>
              <a:latin typeface="微软雅黑" panose="020B0503020204020204" pitchFamily="34" charset="-122"/>
              <a:ea typeface="微软雅黑" panose="020B0503020204020204" pitchFamily="34" charset="-122"/>
            </a:rPr>
            <a:t>：</a:t>
          </a:r>
          <a:r>
            <a:rPr lang="zh-CN" altLang="en-US" sz="1200" b="0">
              <a:solidFill>
                <a:srgbClr val="000000"/>
              </a:solidFill>
              <a:latin typeface="微软雅黑" panose="020B0503020204020204" pitchFamily="34" charset="-122"/>
              <a:ea typeface="微软雅黑" panose="020B0503020204020204" pitchFamily="34" charset="-122"/>
            </a:rPr>
            <a:t>月套餐</a:t>
          </a:r>
          <a:r>
            <a:rPr lang="en-US" altLang="zh-CN" sz="1200">
              <a:solidFill>
                <a:srgbClr val="000000"/>
              </a:solidFill>
              <a:latin typeface="微软雅黑" panose="020B0503020204020204" pitchFamily="34" charset="-122"/>
              <a:ea typeface="微软雅黑" panose="020B0503020204020204" pitchFamily="34" charset="-122"/>
            </a:rPr>
            <a:t>1TB</a:t>
          </a:r>
          <a:r>
            <a:rPr lang="zh-CN" altLang="zh-CN" sz="1200">
              <a:solidFill>
                <a:srgbClr val="000000"/>
              </a:solidFill>
              <a:latin typeface="微软雅黑" panose="020B0503020204020204" pitchFamily="34" charset="-122"/>
              <a:ea typeface="微软雅黑" panose="020B0503020204020204" pitchFamily="34" charset="-122"/>
            </a:rPr>
            <a:t>以下档位按照</a:t>
          </a:r>
          <a:r>
            <a:rPr lang="en-US" altLang="zh-CN" sz="1200">
              <a:solidFill>
                <a:srgbClr val="000000"/>
              </a:solidFill>
              <a:latin typeface="微软雅黑" panose="020B0503020204020204" pitchFamily="34" charset="-122"/>
              <a:ea typeface="微软雅黑" panose="020B0503020204020204" pitchFamily="34" charset="-122"/>
            </a:rPr>
            <a:t>500</a:t>
          </a:r>
          <a:r>
            <a:rPr lang="zh-CN" altLang="zh-CN" sz="1200">
              <a:solidFill>
                <a:srgbClr val="000000"/>
              </a:solidFill>
              <a:latin typeface="微软雅黑" panose="020B0503020204020204" pitchFamily="34" charset="-122"/>
              <a:ea typeface="微软雅黑" panose="020B0503020204020204" pitchFamily="34" charset="-122"/>
            </a:rPr>
            <a:t>元封顶，</a:t>
          </a:r>
          <a:r>
            <a:rPr lang="en-US" altLang="zh-CN" sz="1200">
              <a:solidFill>
                <a:srgbClr val="000000"/>
              </a:solidFill>
              <a:latin typeface="微软雅黑" panose="020B0503020204020204" pitchFamily="34" charset="-122"/>
              <a:ea typeface="微软雅黑" panose="020B0503020204020204" pitchFamily="34" charset="-122"/>
            </a:rPr>
            <a:t>1TB</a:t>
          </a:r>
          <a:r>
            <a:rPr lang="zh-CN" altLang="zh-CN" sz="1200">
              <a:solidFill>
                <a:srgbClr val="000000"/>
              </a:solidFill>
              <a:latin typeface="微软雅黑" panose="020B0503020204020204" pitchFamily="34" charset="-122"/>
              <a:ea typeface="微软雅黑" panose="020B0503020204020204" pitchFamily="34" charset="-122"/>
            </a:rPr>
            <a:t>及以上档位按照</a:t>
          </a:r>
          <a:r>
            <a:rPr lang="en-US" altLang="zh-CN" sz="1200">
              <a:solidFill>
                <a:srgbClr val="000000"/>
              </a:solidFill>
              <a:latin typeface="微软雅黑" panose="020B0503020204020204" pitchFamily="34" charset="-122"/>
              <a:ea typeface="微软雅黑" panose="020B0503020204020204" pitchFamily="34" charset="-122"/>
            </a:rPr>
            <a:t>3000</a:t>
          </a:r>
          <a:r>
            <a:rPr lang="zh-CN" altLang="zh-CN" sz="1200">
              <a:solidFill>
                <a:srgbClr val="000000"/>
              </a:solidFill>
              <a:latin typeface="微软雅黑" panose="020B0503020204020204" pitchFamily="34" charset="-122"/>
              <a:ea typeface="微软雅黑" panose="020B0503020204020204" pitchFamily="34" charset="-122"/>
            </a:rPr>
            <a:t>元封顶</a:t>
          </a:r>
          <a:r>
            <a:rPr lang="zh-CN" altLang="en-US" sz="1200">
              <a:solidFill>
                <a:srgbClr val="000000"/>
              </a:solidFill>
              <a:latin typeface="微软雅黑" panose="020B0503020204020204" pitchFamily="34" charset="-122"/>
              <a:ea typeface="微软雅黑" panose="020B0503020204020204" pitchFamily="34" charset="-122"/>
            </a:rPr>
            <a:t>。</a:t>
          </a:r>
          <a:r>
            <a:rPr lang="zh-CN" altLang="zh-CN" sz="1200">
              <a:solidFill>
                <a:srgbClr val="000000"/>
              </a:solidFill>
              <a:latin typeface="微软雅黑" panose="020B0503020204020204" pitchFamily="34" charset="-122"/>
              <a:ea typeface="微软雅黑" panose="020B0503020204020204" pitchFamily="34" charset="-122"/>
            </a:rPr>
            <a:t>当用户套外资费到达相应金额时，停止上网功能</a:t>
          </a:r>
          <a:r>
            <a:rPr lang="zh-CN" altLang="en-US" sz="1200">
              <a:solidFill>
                <a:srgbClr val="000000"/>
              </a:solidFill>
              <a:latin typeface="微软雅黑" panose="020B0503020204020204" pitchFamily="34" charset="-122"/>
              <a:ea typeface="微软雅黑" panose="020B0503020204020204" pitchFamily="34" charset="-122"/>
            </a:rPr>
            <a:t>；</a:t>
          </a:r>
          <a:r>
            <a:rPr lang="zh-CN" altLang="zh-CN" sz="1200">
              <a:solidFill>
                <a:srgbClr val="000000"/>
              </a:solidFill>
              <a:latin typeface="微软雅黑" panose="020B0503020204020204" pitchFamily="34" charset="-122"/>
              <a:ea typeface="微软雅黑" panose="020B0503020204020204" pitchFamily="34" charset="-122"/>
            </a:rPr>
            <a:t>客户可申请打开上网功能，上网功能打开后，按照</a:t>
          </a:r>
          <a:r>
            <a:rPr lang="en-US" altLang="zh-CN" sz="1200">
              <a:solidFill>
                <a:srgbClr val="000000"/>
              </a:solidFill>
              <a:latin typeface="微软雅黑" panose="020B0503020204020204" pitchFamily="34" charset="-122"/>
              <a:ea typeface="微软雅黑" panose="020B0503020204020204" pitchFamily="34" charset="-122"/>
            </a:rPr>
            <a:t>3</a:t>
          </a:r>
          <a:r>
            <a:rPr lang="zh-CN" altLang="zh-CN" sz="1200">
              <a:solidFill>
                <a:srgbClr val="000000"/>
              </a:solidFill>
              <a:latin typeface="微软雅黑" panose="020B0503020204020204" pitchFamily="34" charset="-122"/>
              <a:ea typeface="微软雅黑" panose="020B0503020204020204" pitchFamily="34" charset="-122"/>
            </a:rPr>
            <a:t>元</a:t>
          </a:r>
          <a:r>
            <a:rPr lang="en-US" altLang="zh-CN" sz="1200">
              <a:solidFill>
                <a:srgbClr val="000000"/>
              </a:solidFill>
              <a:latin typeface="微软雅黑" panose="020B0503020204020204" pitchFamily="34" charset="-122"/>
              <a:ea typeface="微软雅黑" panose="020B0503020204020204" pitchFamily="34" charset="-122"/>
            </a:rPr>
            <a:t>/GB</a:t>
          </a:r>
          <a:r>
            <a:rPr lang="zh-CN" altLang="zh-CN" sz="1200">
              <a:solidFill>
                <a:srgbClr val="000000"/>
              </a:solidFill>
              <a:latin typeface="微软雅黑" panose="020B0503020204020204" pitchFamily="34" charset="-122"/>
              <a:ea typeface="微软雅黑" panose="020B0503020204020204" pitchFamily="34" charset="-122"/>
            </a:rPr>
            <a:t>标准收费，当月流量费用不再封顶，次月恢复</a:t>
          </a:r>
          <a:r>
            <a:rPr lang="zh-CN" altLang="en-US" sz="1200">
              <a:solidFill>
                <a:srgbClr val="000000"/>
              </a:solidFill>
              <a:latin typeface="微软雅黑" panose="020B0503020204020204" pitchFamily="34" charset="-122"/>
              <a:ea typeface="微软雅黑" panose="020B0503020204020204" pitchFamily="34" charset="-122"/>
            </a:rPr>
            <a:t>。</a:t>
          </a:r>
          <a:endParaRPr lang="en-US" altLang="zh-CN" sz="1200">
            <a:solidFill>
              <a:srgbClr val="000000"/>
            </a:solidFill>
            <a:latin typeface="微软雅黑" panose="020B0503020204020204" pitchFamily="34" charset="-122"/>
            <a:ea typeface="微软雅黑" panose="020B0503020204020204" pitchFamily="34" charset="-122"/>
          </a:endParaRPr>
        </a:p>
        <a:p>
          <a:pPr marL="467995" indent="-457200">
            <a:lnSpc>
              <a:spcPct val="120000"/>
            </a:lnSpc>
            <a:buFont typeface="Wingdings" panose="05000000000000000000" pitchFamily="2" charset="2"/>
            <a:buChar char="p"/>
          </a:pPr>
          <a:r>
            <a:rPr lang="zh-CN" altLang="en-US" sz="1200" b="1">
              <a:solidFill>
                <a:srgbClr val="000000"/>
              </a:solidFill>
              <a:latin typeface="微软雅黑" panose="020B0503020204020204" pitchFamily="34" charset="-122"/>
              <a:ea typeface="微软雅黑" panose="020B0503020204020204" pitchFamily="34" charset="-122"/>
            </a:rPr>
            <a:t>长周期包有效期：</a:t>
          </a:r>
          <a:r>
            <a:rPr lang="zh-CN" altLang="en-US" sz="1200">
              <a:solidFill>
                <a:srgbClr val="000000"/>
              </a:solidFill>
              <a:latin typeface="微软雅黑" panose="020B0503020204020204" pitchFamily="34" charset="-122"/>
              <a:ea typeface="微软雅黑" panose="020B0503020204020204" pitchFamily="34" charset="-122"/>
            </a:rPr>
            <a:t>长周期包免费资源有效时间从生效之日起按天计算，季包为</a:t>
          </a:r>
          <a:r>
            <a:rPr lang="en-US" altLang="zh-CN" sz="1200">
              <a:solidFill>
                <a:srgbClr val="000000"/>
              </a:solidFill>
              <a:latin typeface="微软雅黑" panose="020B0503020204020204" pitchFamily="34" charset="-122"/>
              <a:ea typeface="微软雅黑" panose="020B0503020204020204" pitchFamily="34" charset="-122"/>
            </a:rPr>
            <a:t>90</a:t>
          </a:r>
          <a:r>
            <a:rPr lang="zh-CN" altLang="en-US" sz="1200">
              <a:solidFill>
                <a:srgbClr val="000000"/>
              </a:solidFill>
              <a:latin typeface="微软雅黑" panose="020B0503020204020204" pitchFamily="34" charset="-122"/>
              <a:ea typeface="微软雅黑" panose="020B0503020204020204" pitchFamily="34" charset="-122"/>
            </a:rPr>
            <a:t>天、半年包为</a:t>
          </a:r>
          <a:r>
            <a:rPr lang="en-US" altLang="zh-CN" sz="1200">
              <a:solidFill>
                <a:srgbClr val="000000"/>
              </a:solidFill>
              <a:latin typeface="微软雅黑" panose="020B0503020204020204" pitchFamily="34" charset="-122"/>
              <a:ea typeface="微软雅黑" panose="020B0503020204020204" pitchFamily="34" charset="-122"/>
            </a:rPr>
            <a:t>180</a:t>
          </a:r>
          <a:r>
            <a:rPr lang="zh-CN" altLang="en-US" sz="1200">
              <a:solidFill>
                <a:srgbClr val="000000"/>
              </a:solidFill>
              <a:latin typeface="微软雅黑" panose="020B0503020204020204" pitchFamily="34" charset="-122"/>
              <a:ea typeface="微软雅黑" panose="020B0503020204020204" pitchFamily="34" charset="-122"/>
            </a:rPr>
            <a:t>天、年包为</a:t>
          </a:r>
          <a:r>
            <a:rPr lang="en-US" altLang="zh-CN" sz="1200">
              <a:solidFill>
                <a:srgbClr val="000000"/>
              </a:solidFill>
              <a:latin typeface="微软雅黑" panose="020B0503020204020204" pitchFamily="34" charset="-122"/>
              <a:ea typeface="微软雅黑" panose="020B0503020204020204" pitchFamily="34" charset="-122"/>
            </a:rPr>
            <a:t>360</a:t>
          </a:r>
          <a:r>
            <a:rPr lang="zh-CN" altLang="en-US" sz="1200">
              <a:solidFill>
                <a:srgbClr val="000000"/>
              </a:solidFill>
              <a:latin typeface="微软雅黑" panose="020B0503020204020204" pitchFamily="34" charset="-122"/>
              <a:ea typeface="微软雅黑" panose="020B0503020204020204" pitchFamily="34" charset="-122"/>
            </a:rPr>
            <a:t>天。</a:t>
          </a:r>
          <a:endParaRPr lang="en-US" altLang="zh-CN" sz="1200">
            <a:solidFill>
              <a:srgbClr val="000000"/>
            </a:solidFill>
            <a:latin typeface="微软雅黑" panose="020B0503020204020204" pitchFamily="34" charset="-122"/>
            <a:ea typeface="微软雅黑" panose="020B0503020204020204" pitchFamily="34" charset="-122"/>
          </a:endParaRPr>
        </a:p>
        <a:p>
          <a:pPr marL="467995" indent="-457200">
            <a:lnSpc>
              <a:spcPct val="120000"/>
            </a:lnSpc>
            <a:buFont typeface="Wingdings" panose="05000000000000000000" pitchFamily="2" charset="2"/>
            <a:buChar char="p"/>
          </a:pPr>
          <a:r>
            <a:rPr lang="zh-CN" altLang="en-US" sz="1200" b="1">
              <a:solidFill>
                <a:srgbClr val="000000"/>
              </a:solidFill>
              <a:latin typeface="微软雅黑" panose="020B0503020204020204" pitchFamily="34" charset="-122"/>
              <a:ea typeface="微软雅黑" panose="020B0503020204020204" pitchFamily="34" charset="-122"/>
            </a:rPr>
            <a:t>测试期套餐超套：</a:t>
          </a:r>
          <a:r>
            <a:rPr lang="zh-CN" altLang="en-US" sz="1200">
              <a:solidFill>
                <a:srgbClr val="000000"/>
              </a:solidFill>
              <a:latin typeface="微软雅黑" panose="020B0503020204020204" pitchFamily="34" charset="-122"/>
              <a:ea typeface="微软雅黑" panose="020B0503020204020204" pitchFamily="34" charset="-122"/>
            </a:rPr>
            <a:t>测试期套餐超套后、用户没有有效套餐时按照标准资费批价</a:t>
          </a:r>
          <a:r>
            <a:rPr lang="en-US" altLang="zh-CN" sz="1200">
              <a:solidFill>
                <a:srgbClr val="000000"/>
              </a:solidFill>
              <a:latin typeface="微软雅黑" panose="020B0503020204020204" pitchFamily="34" charset="-122"/>
              <a:ea typeface="微软雅黑" panose="020B0503020204020204" pitchFamily="34" charset="-122"/>
            </a:rPr>
            <a:t>(0.29</a:t>
          </a:r>
          <a:r>
            <a:rPr lang="zh-CN" altLang="en-US" sz="1200">
              <a:solidFill>
                <a:srgbClr val="000000"/>
              </a:solidFill>
              <a:latin typeface="微软雅黑" panose="020B0503020204020204" pitchFamily="34" charset="-122"/>
              <a:ea typeface="微软雅黑" panose="020B0503020204020204" pitchFamily="34" charset="-122"/>
            </a:rPr>
            <a:t>元</a:t>
          </a:r>
          <a:r>
            <a:rPr lang="en-US" altLang="zh-CN" sz="1200">
              <a:solidFill>
                <a:srgbClr val="000000"/>
              </a:solidFill>
              <a:latin typeface="微软雅黑" panose="020B0503020204020204" pitchFamily="34" charset="-122"/>
              <a:ea typeface="微软雅黑" panose="020B0503020204020204" pitchFamily="34" charset="-122"/>
            </a:rPr>
            <a:t>/M)</a:t>
          </a:r>
          <a:r>
            <a:rPr lang="zh-CN" altLang="en-US" sz="1200">
              <a:solidFill>
                <a:srgbClr val="000000"/>
              </a:solidFill>
              <a:latin typeface="微软雅黑" panose="020B0503020204020204" pitchFamily="34" charset="-122"/>
              <a:ea typeface="微软雅黑" panose="020B0503020204020204" pitchFamily="34" charset="-122"/>
            </a:rPr>
            <a:t>，双封顶按“</a:t>
          </a:r>
          <a:r>
            <a:rPr lang="en-US" altLang="zh-CN" sz="1200">
              <a:solidFill>
                <a:srgbClr val="000000"/>
              </a:solidFill>
              <a:latin typeface="微软雅黑" panose="020B0503020204020204" pitchFamily="34" charset="-122"/>
              <a:ea typeface="微软雅黑" panose="020B0503020204020204" pitchFamily="34" charset="-122"/>
            </a:rPr>
            <a:t>50</a:t>
          </a:r>
          <a:r>
            <a:rPr lang="zh-CN" altLang="en-US" sz="1200">
              <a:solidFill>
                <a:srgbClr val="000000"/>
              </a:solidFill>
              <a:latin typeface="微软雅黑" panose="020B0503020204020204" pitchFamily="34" charset="-122"/>
              <a:ea typeface="微软雅黑" panose="020B0503020204020204" pitchFamily="34" charset="-122"/>
            </a:rPr>
            <a:t>元</a:t>
          </a:r>
          <a:r>
            <a:rPr lang="en-US" altLang="zh-CN" sz="1200">
              <a:solidFill>
                <a:srgbClr val="000000"/>
              </a:solidFill>
              <a:latin typeface="微软雅黑" panose="020B0503020204020204" pitchFamily="34" charset="-122"/>
              <a:ea typeface="微软雅黑" panose="020B0503020204020204" pitchFamily="34" charset="-122"/>
            </a:rPr>
            <a:t>200M”</a:t>
          </a:r>
          <a:r>
            <a:rPr lang="zh-CN" altLang="en-US" sz="1200">
              <a:solidFill>
                <a:srgbClr val="000000"/>
              </a:solidFill>
              <a:latin typeface="微软雅黑" panose="020B0503020204020204" pitchFamily="34" charset="-122"/>
              <a:ea typeface="微软雅黑" panose="020B0503020204020204" pitchFamily="34" charset="-122"/>
            </a:rPr>
            <a:t>执行。</a:t>
          </a:r>
          <a:r>
            <a:rPr lang="zh-CN" altLang="zh-CN" sz="1200" kern="1200">
              <a:solidFill>
                <a:srgbClr val="000000"/>
              </a:solidFill>
              <a:latin typeface="微软雅黑" panose="020B0503020204020204" pitchFamily="34" charset="-122"/>
              <a:ea typeface="微软雅黑" panose="020B0503020204020204" pitchFamily="34" charset="-122"/>
              <a:cs typeface="+mn-cs"/>
            </a:rPr>
            <a:t>同一个集团客户限制只能订购</a:t>
          </a:r>
          <a:r>
            <a:rPr lang="en-US" altLang="zh-CN" sz="1200" kern="1200">
              <a:solidFill>
                <a:srgbClr val="000000"/>
              </a:solidFill>
              <a:latin typeface="微软雅黑" panose="020B0503020204020204" pitchFamily="34" charset="-122"/>
              <a:ea typeface="微软雅黑" panose="020B0503020204020204" pitchFamily="34" charset="-122"/>
              <a:cs typeface="+mn-cs"/>
            </a:rPr>
            <a:t>3</a:t>
          </a:r>
          <a:r>
            <a:rPr lang="zh-CN" altLang="zh-CN" sz="1200" kern="1200">
              <a:solidFill>
                <a:srgbClr val="000000"/>
              </a:solidFill>
              <a:latin typeface="微软雅黑" panose="020B0503020204020204" pitchFamily="34" charset="-122"/>
              <a:ea typeface="微软雅黑" panose="020B0503020204020204" pitchFamily="34" charset="-122"/>
              <a:cs typeface="+mn-cs"/>
            </a:rPr>
            <a:t>档</a:t>
          </a:r>
          <a:r>
            <a:rPr lang="zh-CN" altLang="en-US" sz="1200" kern="1200">
              <a:solidFill>
                <a:srgbClr val="000000"/>
              </a:solidFill>
              <a:latin typeface="微软雅黑" panose="020B0503020204020204" pitchFamily="34" charset="-122"/>
              <a:ea typeface="微软雅黑" panose="020B0503020204020204" pitchFamily="34" charset="-122"/>
              <a:cs typeface="+mn-cs"/>
            </a:rPr>
            <a:t>大流量</a:t>
          </a:r>
          <a:r>
            <a:rPr lang="zh-CN" altLang="zh-CN" sz="1200" kern="1200">
              <a:solidFill>
                <a:srgbClr val="000000"/>
              </a:solidFill>
              <a:latin typeface="微软雅黑" panose="020B0503020204020204" pitchFamily="34" charset="-122"/>
              <a:ea typeface="微软雅黑" panose="020B0503020204020204" pitchFamily="34" charset="-122"/>
              <a:cs typeface="+mn-cs"/>
            </a:rPr>
            <a:t>测试期套餐</a:t>
          </a:r>
          <a:r>
            <a:rPr lang="zh-CN" altLang="en-US" sz="1200" kern="1200">
              <a:solidFill>
                <a:srgbClr val="000000"/>
              </a:solidFill>
              <a:latin typeface="微软雅黑" panose="020B0503020204020204" pitchFamily="34" charset="-122"/>
              <a:ea typeface="微软雅黑" panose="020B0503020204020204" pitchFamily="34" charset="-122"/>
              <a:cs typeface="+mn-cs"/>
            </a:rPr>
            <a:t>（流量大于等于</a:t>
          </a:r>
          <a:r>
            <a:rPr lang="en-US" altLang="zh-CN" sz="1200" kern="1200">
              <a:solidFill>
                <a:srgbClr val="000000"/>
              </a:solidFill>
              <a:latin typeface="微软雅黑" panose="020B0503020204020204" pitchFamily="34" charset="-122"/>
              <a:ea typeface="微软雅黑" panose="020B0503020204020204" pitchFamily="34" charset="-122"/>
              <a:cs typeface="+mn-cs"/>
            </a:rPr>
            <a:t>1T</a:t>
          </a:r>
          <a:r>
            <a:rPr lang="zh-CN" altLang="en-US" sz="1200" kern="1200">
              <a:solidFill>
                <a:srgbClr val="000000"/>
              </a:solidFill>
              <a:latin typeface="微软雅黑" panose="020B0503020204020204" pitchFamily="34" charset="-122"/>
              <a:ea typeface="微软雅黑" panose="020B0503020204020204" pitchFamily="34" charset="-122"/>
              <a:cs typeface="+mn-cs"/>
            </a:rPr>
            <a:t>）</a:t>
          </a:r>
          <a:r>
            <a:rPr lang="zh-CN" altLang="zh-CN" sz="1200" kern="1200">
              <a:solidFill>
                <a:srgbClr val="000000"/>
              </a:solidFill>
              <a:latin typeface="微软雅黑" panose="020B0503020204020204" pitchFamily="34" charset="-122"/>
              <a:ea typeface="微软雅黑" panose="020B0503020204020204" pitchFamily="34" charset="-122"/>
              <a:cs typeface="+mn-cs"/>
            </a:rPr>
            <a:t>其中一档</a:t>
          </a:r>
          <a:r>
            <a:rPr lang="zh-CN" altLang="en-US" sz="1200" kern="1200">
              <a:solidFill>
                <a:srgbClr val="000000"/>
              </a:solidFill>
              <a:latin typeface="微软雅黑" panose="020B0503020204020204" pitchFamily="34" charset="-122"/>
              <a:ea typeface="微软雅黑" panose="020B0503020204020204" pitchFamily="34" charset="-122"/>
              <a:cs typeface="+mn-cs"/>
            </a:rPr>
            <a:t>。</a:t>
          </a:r>
          <a:endParaRPr lang="en-US" altLang="zh-CN" sz="1200" kern="1200">
            <a:solidFill>
              <a:srgbClr val="000000"/>
            </a:solidFill>
            <a:latin typeface="微软雅黑" panose="020B0503020204020204" pitchFamily="34" charset="-122"/>
            <a:ea typeface="微软雅黑" panose="020B0503020204020204" pitchFamily="34" charset="-122"/>
            <a:cs typeface="+mn-cs"/>
          </a:endParaRPr>
        </a:p>
        <a:p>
          <a:pPr marL="467995" indent="-457200">
            <a:lnSpc>
              <a:spcPct val="120000"/>
            </a:lnSpc>
            <a:buFont typeface="Wingdings" panose="05000000000000000000" pitchFamily="2" charset="2"/>
            <a:buChar char="p"/>
          </a:pPr>
          <a:r>
            <a:rPr lang="zh-CN" altLang="en-US" sz="1200" b="1">
              <a:solidFill>
                <a:srgbClr val="000000"/>
              </a:solidFill>
              <a:latin typeface="微软雅黑" panose="020B0503020204020204" pitchFamily="34" charset="-122"/>
              <a:ea typeface="微软雅黑" panose="020B0503020204020204" pitchFamily="34" charset="-122"/>
            </a:rPr>
            <a:t>“本地环回” 定义：</a:t>
          </a:r>
          <a:r>
            <a:rPr lang="zh-CN" altLang="en-US" sz="1200">
              <a:solidFill>
                <a:srgbClr val="000000"/>
              </a:solidFill>
              <a:latin typeface="微软雅黑" panose="020B0503020204020204" pitchFamily="34" charset="-122"/>
              <a:ea typeface="微软雅黑" panose="020B0503020204020204" pitchFamily="34" charset="-122"/>
            </a:rPr>
            <a:t>本地环回流量指终端在本地环境下访问同一环境下的本地服务器产生的流量。</a:t>
          </a:r>
        </a:p>
        <a:p>
          <a:pPr marL="467995" indent="-457200">
            <a:lnSpc>
              <a:spcPct val="120000"/>
            </a:lnSpc>
            <a:buFont typeface="Wingdings" panose="05000000000000000000" pitchFamily="2" charset="2"/>
            <a:buChar char="p"/>
          </a:pPr>
          <a:r>
            <a:rPr lang="en-US" altLang="zh-CN" sz="1200" b="1">
              <a:solidFill>
                <a:srgbClr val="000000"/>
              </a:solidFill>
              <a:latin typeface="微软雅黑" panose="020B0503020204020204" pitchFamily="34" charset="-122"/>
              <a:ea typeface="微软雅黑" panose="020B0503020204020204" pitchFamily="34" charset="-122"/>
            </a:rPr>
            <a:t>5G</a:t>
          </a:r>
          <a:r>
            <a:rPr lang="zh-CN" altLang="en-US" sz="1200" b="1">
              <a:solidFill>
                <a:srgbClr val="000000"/>
              </a:solidFill>
              <a:latin typeface="微软雅黑" panose="020B0503020204020204" pitchFamily="34" charset="-122"/>
              <a:ea typeface="微软雅黑" panose="020B0503020204020204" pitchFamily="34" charset="-122"/>
            </a:rPr>
            <a:t>网络权益：</a:t>
          </a:r>
          <a:r>
            <a:rPr lang="zh-CN" altLang="en-US" sz="1200" b="0">
              <a:solidFill>
                <a:srgbClr val="000000"/>
              </a:solidFill>
              <a:latin typeface="微软雅黑" panose="020B0503020204020204" pitchFamily="34" charset="-122"/>
              <a:ea typeface="微软雅黑" panose="020B0503020204020204" pitchFamily="34" charset="-122"/>
            </a:rPr>
            <a:t>提供</a:t>
          </a:r>
          <a:r>
            <a:rPr lang="en-US" altLang="zh-CN" sz="1200" b="0">
              <a:solidFill>
                <a:srgbClr val="000000"/>
              </a:solidFill>
              <a:latin typeface="微软雅黑" panose="020B0503020204020204" pitchFamily="34" charset="-122"/>
              <a:ea typeface="微软雅黑" panose="020B0503020204020204" pitchFamily="34" charset="-122"/>
            </a:rPr>
            <a:t>5G</a:t>
          </a:r>
          <a:r>
            <a:rPr lang="zh-CN" altLang="en-US" sz="1200" b="0">
              <a:solidFill>
                <a:srgbClr val="000000"/>
              </a:solidFill>
              <a:latin typeface="微软雅黑" panose="020B0503020204020204" pitchFamily="34" charset="-122"/>
              <a:ea typeface="微软雅黑" panose="020B0503020204020204" pitchFamily="34" charset="-122"/>
            </a:rPr>
            <a:t>网络的高速服务。在</a:t>
          </a:r>
          <a:r>
            <a:rPr lang="en-US" altLang="zh-CN" sz="1200" b="0">
              <a:solidFill>
                <a:srgbClr val="000000"/>
              </a:solidFill>
              <a:latin typeface="微软雅黑" panose="020B0503020204020204" pitchFamily="34" charset="-122"/>
              <a:ea typeface="微软雅黑" panose="020B0503020204020204" pitchFamily="34" charset="-122"/>
            </a:rPr>
            <a:t>5G</a:t>
          </a:r>
          <a:r>
            <a:rPr lang="zh-CN" altLang="en-US" sz="1200" b="0">
              <a:solidFill>
                <a:srgbClr val="000000"/>
              </a:solidFill>
              <a:latin typeface="微软雅黑" panose="020B0503020204020204" pitchFamily="34" charset="-122"/>
              <a:ea typeface="微软雅黑" panose="020B0503020204020204" pitchFamily="34" charset="-122"/>
            </a:rPr>
            <a:t>网络覆盖良好且没有网络拥塞情况下，</a:t>
          </a:r>
          <a:r>
            <a:rPr lang="en-US" altLang="zh-CN" sz="1200" b="0">
              <a:solidFill>
                <a:srgbClr val="000000"/>
              </a:solidFill>
              <a:latin typeface="微软雅黑" panose="020B0503020204020204" pitchFamily="34" charset="-122"/>
              <a:ea typeface="微软雅黑" panose="020B0503020204020204" pitchFamily="34" charset="-122"/>
            </a:rPr>
            <a:t>5G</a:t>
          </a:r>
          <a:r>
            <a:rPr lang="zh-CN" altLang="en-US" sz="1200" b="0">
              <a:solidFill>
                <a:srgbClr val="000000"/>
              </a:solidFill>
              <a:latin typeface="微软雅黑" panose="020B0503020204020204" pitchFamily="34" charset="-122"/>
              <a:ea typeface="微软雅黑" panose="020B0503020204020204" pitchFamily="34" charset="-122"/>
            </a:rPr>
            <a:t>极速服务上下行峰值速率优于</a:t>
          </a:r>
          <a:r>
            <a:rPr lang="en-US" altLang="zh-CN" sz="1200" b="0">
              <a:solidFill>
                <a:srgbClr val="000000"/>
              </a:solidFill>
              <a:latin typeface="微软雅黑" panose="020B0503020204020204" pitchFamily="34" charset="-122"/>
              <a:ea typeface="微软雅黑" panose="020B0503020204020204" pitchFamily="34" charset="-122"/>
            </a:rPr>
            <a:t>5G</a:t>
          </a:r>
          <a:r>
            <a:rPr lang="zh-CN" altLang="en-US" sz="1200" b="0">
              <a:solidFill>
                <a:srgbClr val="000000"/>
              </a:solidFill>
              <a:latin typeface="微软雅黑" panose="020B0503020204020204" pitchFamily="34" charset="-122"/>
              <a:ea typeface="微软雅黑" panose="020B0503020204020204" pitchFamily="34" charset="-122"/>
            </a:rPr>
            <a:t>畅联服务；提供更好的接入服务保障，在网络拥塞情况下，</a:t>
          </a:r>
          <a:r>
            <a:rPr lang="en-US" altLang="zh-CN" sz="1200" b="0">
              <a:solidFill>
                <a:srgbClr val="000000"/>
              </a:solidFill>
              <a:latin typeface="微软雅黑" panose="020B0503020204020204" pitchFamily="34" charset="-122"/>
              <a:ea typeface="微软雅黑" panose="020B0503020204020204" pitchFamily="34" charset="-122"/>
            </a:rPr>
            <a:t>5G</a:t>
          </a:r>
          <a:r>
            <a:rPr lang="zh-CN" altLang="en-US" sz="1200" b="0">
              <a:solidFill>
                <a:srgbClr val="000000"/>
              </a:solidFill>
              <a:latin typeface="微软雅黑" panose="020B0503020204020204" pitchFamily="34" charset="-122"/>
              <a:ea typeface="微软雅黑" panose="020B0503020204020204" pitchFamily="34" charset="-122"/>
            </a:rPr>
            <a:t>极速服务接入服务保障能力优于</a:t>
          </a:r>
          <a:r>
            <a:rPr lang="en-US" altLang="zh-CN" sz="1200" b="0">
              <a:solidFill>
                <a:srgbClr val="000000"/>
              </a:solidFill>
              <a:latin typeface="微软雅黑" panose="020B0503020204020204" pitchFamily="34" charset="-122"/>
              <a:ea typeface="微软雅黑" panose="020B0503020204020204" pitchFamily="34" charset="-122"/>
            </a:rPr>
            <a:t>5G</a:t>
          </a:r>
          <a:r>
            <a:rPr lang="zh-CN" altLang="en-US" sz="1200" b="0">
              <a:solidFill>
                <a:srgbClr val="000000"/>
              </a:solidFill>
              <a:latin typeface="微软雅黑" panose="020B0503020204020204" pitchFamily="34" charset="-122"/>
              <a:ea typeface="微软雅黑" panose="020B0503020204020204" pitchFamily="34" charset="-122"/>
            </a:rPr>
            <a:t>畅联服务。</a:t>
          </a:r>
          <a:endParaRPr lang="en-US" altLang="zh-CN" sz="1200" b="1">
            <a:solidFill>
              <a:srgbClr val="000000"/>
            </a:solidFill>
            <a:latin typeface="微软雅黑" panose="020B0503020204020204" pitchFamily="34" charset="-122"/>
            <a:ea typeface="微软雅黑" panose="020B0503020204020204" pitchFamily="34" charset="-122"/>
          </a:endParaRPr>
        </a:p>
        <a:p>
          <a:pPr marL="467995" indent="-457200">
            <a:lnSpc>
              <a:spcPct val="120000"/>
            </a:lnSpc>
            <a:buFont typeface="Wingdings" panose="05000000000000000000" pitchFamily="2" charset="2"/>
            <a:buChar char="p"/>
          </a:pPr>
          <a:r>
            <a:rPr lang="zh-CN" altLang="en-US" sz="1200" b="1">
              <a:solidFill>
                <a:srgbClr val="000000"/>
              </a:solidFill>
              <a:latin typeface="微软雅黑" panose="020B0503020204020204" pitchFamily="34" charset="-122"/>
              <a:ea typeface="微软雅黑" panose="020B0503020204020204" pitchFamily="34" charset="-122"/>
            </a:rPr>
            <a:t>折扣管理：</a:t>
          </a:r>
          <a:r>
            <a:rPr lang="zh-CN" altLang="en-US" sz="1200" b="0">
              <a:solidFill>
                <a:srgbClr val="000000"/>
              </a:solidFill>
              <a:latin typeface="微软雅黑" panose="020B0503020204020204" pitchFamily="34" charset="-122"/>
              <a:ea typeface="微软雅黑" panose="020B0503020204020204" pitchFamily="34" charset="-122"/>
            </a:rPr>
            <a:t>套餐折扣在底价之上，由各公司自行审批；如需突破折扣底线的，各公司须经省公司分管领导专题会审批通过后再上报总部审批。申请和审批流程与现行物联网</a:t>
          </a:r>
          <a:r>
            <a:rPr lang="en-US" altLang="zh-CN" sz="1200" b="0">
              <a:solidFill>
                <a:srgbClr val="000000"/>
              </a:solidFill>
              <a:latin typeface="微软雅黑" panose="020B0503020204020204" pitchFamily="34" charset="-122"/>
              <a:ea typeface="微软雅黑" panose="020B0503020204020204" pitchFamily="34" charset="-122"/>
            </a:rPr>
            <a:t>2020</a:t>
          </a:r>
          <a:r>
            <a:rPr lang="zh-CN" altLang="en-US" sz="1200" b="0">
              <a:solidFill>
                <a:srgbClr val="000000"/>
              </a:solidFill>
              <a:latin typeface="微软雅黑" panose="020B0503020204020204" pitchFamily="34" charset="-122"/>
              <a:ea typeface="微软雅黑" panose="020B0503020204020204" pitchFamily="34" charset="-122"/>
            </a:rPr>
            <a:t>新资费折扣审批流程一致。</a:t>
          </a:r>
        </a:p>
        <a:p>
          <a:pPr marL="467995" marR="0" indent="-457200" algn="l" defTabSz="914400" rtl="0" eaLnBrk="0" fontAlgn="base" latinLnBrk="0" hangingPunct="0">
            <a:lnSpc>
              <a:spcPct val="120000"/>
            </a:lnSpc>
            <a:spcBef>
              <a:spcPct val="0"/>
            </a:spcBef>
            <a:spcAft>
              <a:spcPct val="0"/>
            </a:spcAft>
            <a:buClrTx/>
            <a:buSzTx/>
            <a:buFont typeface="Wingdings" panose="05000000000000000000" pitchFamily="2" charset="2"/>
            <a:buChar char="p"/>
            <a:defRPr/>
          </a:pPr>
          <a:r>
            <a:rPr lang="zh-CN" altLang="en-US" sz="1200" b="1">
              <a:solidFill>
                <a:srgbClr val="000000"/>
              </a:solidFill>
              <a:latin typeface="微软雅黑" panose="020B0503020204020204" pitchFamily="34" charset="-122"/>
              <a:ea typeface="微软雅黑" panose="020B0503020204020204" pitchFamily="34" charset="-122"/>
            </a:rPr>
            <a:t>结算规则</a:t>
          </a:r>
          <a:r>
            <a:rPr lang="zh-CN" altLang="zh-CN" sz="1200" b="1">
              <a:solidFill>
                <a:srgbClr val="000000"/>
              </a:solidFill>
              <a:latin typeface="微软雅黑" panose="020B0503020204020204" pitchFamily="34" charset="-122"/>
              <a:ea typeface="微软雅黑" panose="020B0503020204020204" pitchFamily="34" charset="-122"/>
            </a:rPr>
            <a:t>：</a:t>
          </a:r>
          <a:r>
            <a:rPr lang="zh-CN" altLang="zh-CN" sz="1200">
              <a:solidFill>
                <a:srgbClr val="000000"/>
              </a:solidFill>
              <a:latin typeface="微软雅黑" panose="020B0503020204020204" pitchFamily="34" charset="-122"/>
              <a:ea typeface="微软雅黑" panose="020B0503020204020204" pitchFamily="34" charset="-122"/>
            </a:rPr>
            <a:t>销售省公司按流量费目录价的</a:t>
          </a:r>
          <a:r>
            <a:rPr lang="en-US" altLang="zh-CN" sz="1200">
              <a:solidFill>
                <a:srgbClr val="000000"/>
              </a:solidFill>
              <a:latin typeface="微软雅黑" panose="020B0503020204020204" pitchFamily="34" charset="-122"/>
              <a:ea typeface="微软雅黑" panose="020B0503020204020204" pitchFamily="34" charset="-122"/>
            </a:rPr>
            <a:t>20%</a:t>
          </a:r>
          <a:r>
            <a:rPr lang="zh-CN" altLang="zh-CN" sz="1200">
              <a:solidFill>
                <a:srgbClr val="000000"/>
              </a:solidFill>
              <a:latin typeface="微软雅黑" panose="020B0503020204020204" pitchFamily="34" charset="-122"/>
              <a:ea typeface="微软雅黑" panose="020B0503020204020204" pitchFamily="34" charset="-122"/>
            </a:rPr>
            <a:t>向使用地公司进行结算</a:t>
          </a:r>
          <a:r>
            <a:rPr lang="zh-CN" altLang="en-US" sz="1200">
              <a:solidFill>
                <a:srgbClr val="000000"/>
              </a:solidFill>
              <a:latin typeface="微软雅黑" panose="020B0503020204020204" pitchFamily="34" charset="-122"/>
              <a:ea typeface="微软雅黑" panose="020B0503020204020204" pitchFamily="34" charset="-122"/>
            </a:rPr>
            <a:t>，流量池和流量共享的</a:t>
          </a:r>
          <a:r>
            <a:rPr lang="zh-CN" altLang="en-US" sz="1200" b="1">
              <a:solidFill>
                <a:srgbClr val="000000"/>
              </a:solidFill>
              <a:latin typeface="微软雅黑" panose="020B0503020204020204" pitchFamily="34" charset="-122"/>
              <a:ea typeface="微软雅黑" panose="020B0503020204020204" pitchFamily="34" charset="-122"/>
            </a:rPr>
            <a:t>月功能费不结算。</a:t>
          </a:r>
          <a:r>
            <a:rPr lang="zh-CN" altLang="zh-CN" sz="1100" b="1" kern="1200">
              <a:solidFill>
                <a:schemeClr val="tx1"/>
              </a:solidFill>
              <a:latin typeface="微软雅黑" panose="020B0503020204020204" pitchFamily="34" charset="-122"/>
              <a:ea typeface="微软雅黑" panose="020B0503020204020204" pitchFamily="34" charset="-122"/>
              <a:cs typeface="+mn-cs"/>
            </a:rPr>
            <a:t>车联网业务</a:t>
          </a:r>
          <a:r>
            <a:rPr lang="zh-CN" altLang="zh-CN" sz="1100" b="0" kern="1200">
              <a:solidFill>
                <a:schemeClr val="tx1"/>
              </a:solidFill>
              <a:latin typeface="微软雅黑" panose="020B0503020204020204" pitchFamily="34" charset="-122"/>
              <a:ea typeface="微软雅黑" panose="020B0503020204020204" pitchFamily="34" charset="-122"/>
              <a:cs typeface="+mn-cs"/>
            </a:rPr>
            <a:t>销售省公司按流量费目录价的</a:t>
          </a:r>
          <a:r>
            <a:rPr lang="en-US" altLang="zh-CN" sz="1100" b="0" kern="1200">
              <a:solidFill>
                <a:schemeClr val="tx1"/>
              </a:solidFill>
              <a:latin typeface="微软雅黑" panose="020B0503020204020204" pitchFamily="34" charset="-122"/>
              <a:ea typeface="微软雅黑" panose="020B0503020204020204" pitchFamily="34" charset="-122"/>
              <a:cs typeface="+mn-cs"/>
            </a:rPr>
            <a:t>10%</a:t>
          </a:r>
          <a:r>
            <a:rPr lang="zh-CN" altLang="zh-CN" sz="1100" b="0" kern="1200">
              <a:solidFill>
                <a:schemeClr val="tx1"/>
              </a:solidFill>
              <a:latin typeface="微软雅黑" panose="020B0503020204020204" pitchFamily="34" charset="-122"/>
              <a:ea typeface="微软雅黑" panose="020B0503020204020204" pitchFamily="34" charset="-122"/>
              <a:cs typeface="+mn-cs"/>
            </a:rPr>
            <a:t>向使用地公司进行结算</a:t>
          </a:r>
          <a:r>
            <a:rPr lang="zh-CN" altLang="en-US" sz="1100" b="0" kern="1200">
              <a:solidFill>
                <a:schemeClr val="tx1"/>
              </a:solidFill>
              <a:latin typeface="微软雅黑" panose="020B0503020204020204" pitchFamily="34" charset="-122"/>
              <a:ea typeface="微软雅黑" panose="020B0503020204020204" pitchFamily="34" charset="-122"/>
              <a:cs typeface="+mn-cs"/>
            </a:rPr>
            <a:t>。</a:t>
          </a:r>
          <a:endParaRPr lang="en-US" altLang="zh-CN" sz="1100" b="0" kern="1200">
            <a:solidFill>
              <a:schemeClr val="tx1"/>
            </a:solidFill>
            <a:latin typeface="微软雅黑" panose="020B0503020204020204" pitchFamily="34" charset="-122"/>
            <a:ea typeface="微软雅黑" panose="020B0503020204020204" pitchFamily="34" charset="-122"/>
            <a:cs typeface="+mn-cs"/>
          </a:endParaRPr>
        </a:p>
        <a:p>
          <a:pPr marL="467995" marR="0" indent="-457200" algn="l" defTabSz="914400" rtl="0" eaLnBrk="0" fontAlgn="base" latinLnBrk="0" hangingPunct="0">
            <a:lnSpc>
              <a:spcPct val="120000"/>
            </a:lnSpc>
            <a:spcBef>
              <a:spcPct val="0"/>
            </a:spcBef>
            <a:spcAft>
              <a:spcPct val="0"/>
            </a:spcAft>
            <a:buClrTx/>
            <a:buSzTx/>
            <a:buFont typeface="Wingdings" panose="05000000000000000000" pitchFamily="2" charset="2"/>
            <a:buChar char="p"/>
            <a:defRPr/>
          </a:pPr>
          <a:r>
            <a:rPr lang="zh-CN" altLang="en-US" sz="1100" b="0" kern="1200">
              <a:solidFill>
                <a:schemeClr val="tx1"/>
              </a:solidFill>
              <a:latin typeface="微软雅黑" panose="020B0503020204020204" pitchFamily="34" charset="-122"/>
              <a:ea typeface="微软雅黑" panose="020B0503020204020204" pitchFamily="34" charset="-122"/>
              <a:cs typeface="+mn-cs"/>
            </a:rPr>
            <a:t>注：车联网测试期及车联网结算上线时间另行通知。</a:t>
          </a:r>
          <a:endParaRPr lang="en-US" altLang="zh-CN" sz="1100" b="0" kern="1200">
            <a:solidFill>
              <a:schemeClr val="tx1"/>
            </a:solidFill>
            <a:latin typeface="微软雅黑" panose="020B0503020204020204" pitchFamily="34" charset="-122"/>
            <a:ea typeface="微软雅黑" panose="020B0503020204020204" pitchFamily="34" charset="-122"/>
            <a:cs typeface="+mn-cs"/>
          </a:endParaRPr>
        </a:p>
        <a:p>
          <a:pPr marL="467995" indent="-457200">
            <a:lnSpc>
              <a:spcPct val="120000"/>
            </a:lnSpc>
            <a:buFont typeface="Wingdings" panose="05000000000000000000" pitchFamily="2" charset="2"/>
            <a:buChar char="p"/>
          </a:pPr>
          <a:endParaRPr lang="en-US" altLang="zh-CN" sz="1200" b="1">
            <a:solidFill>
              <a:srgbClr val="000000"/>
            </a:solidFill>
            <a:latin typeface="微软雅黑" panose="020B0503020204020204" pitchFamily="34" charset="-122"/>
            <a:ea typeface="微软雅黑" panose="020B0503020204020204" pitchFamily="34" charset="-122"/>
          </a:endParaRPr>
        </a:p>
      </xdr:txBody>
    </xdr:sp>
    <xdr:clientData/>
  </xdr:twoCellAnchor>
  <xdr:oneCellAnchor>
    <xdr:from>
      <xdr:col>0</xdr:col>
      <xdr:colOff>539750</xdr:colOff>
      <xdr:row>12</xdr:row>
      <xdr:rowOff>126365</xdr:rowOff>
    </xdr:from>
    <xdr:ext cx="9211789" cy="1092683"/>
    <xdr:sp macro="" textlink="">
      <xdr:nvSpPr>
        <xdr:cNvPr id="2" name="矩形 1"/>
        <xdr:cNvSpPr/>
      </xdr:nvSpPr>
      <xdr:spPr>
        <a:xfrm rot="19780304">
          <a:off x="539750" y="2847340"/>
          <a:ext cx="9211310" cy="1092200"/>
        </a:xfrm>
        <a:prstGeom prst="rect">
          <a:avLst/>
        </a:prstGeom>
        <a:noFill/>
        <a:effectLst/>
      </xdr:spPr>
      <xdr:txBody>
        <a:bodyPr wrap="square" lIns="91440" tIns="45720" rIns="91440" bIns="45720">
          <a:noAutofit/>
        </a:bodyPr>
        <a:lstStyle/>
        <a:p>
          <a:pPr algn="ctr"/>
          <a:r>
            <a:rPr lang="zh-CN" altLang="en-US" sz="3600" b="1" cap="none" spc="0">
              <a:ln w="12700">
                <a:noFill/>
                <a:prstDash val="solid"/>
              </a:ln>
              <a:solidFill>
                <a:schemeClr val="tx2">
                  <a:alpha val="33000"/>
                </a:schemeClr>
              </a:solidFill>
              <a:effectLst/>
            </a:rPr>
            <a:t>仅供中国移动内部使用</a:t>
          </a:r>
        </a:p>
      </xdr:txBody>
    </xdr:sp>
    <xdr:clientData/>
  </xdr:oneCellAnchor>
  <xdr:oneCellAnchor>
    <xdr:from>
      <xdr:col>6</xdr:col>
      <xdr:colOff>840105</xdr:colOff>
      <xdr:row>25</xdr:row>
      <xdr:rowOff>393065</xdr:rowOff>
    </xdr:from>
    <xdr:ext cx="9211789" cy="1041248"/>
    <xdr:sp macro="" textlink="">
      <xdr:nvSpPr>
        <xdr:cNvPr id="6" name="矩形 5"/>
        <xdr:cNvSpPr/>
      </xdr:nvSpPr>
      <xdr:spPr>
        <a:xfrm rot="19780304">
          <a:off x="7862570" y="8038465"/>
          <a:ext cx="9211310" cy="1040765"/>
        </a:xfrm>
        <a:prstGeom prst="rect">
          <a:avLst/>
        </a:prstGeom>
        <a:noFill/>
        <a:effectLst/>
      </xdr:spPr>
      <xdr:txBody>
        <a:bodyPr wrap="square" lIns="91440" tIns="45720" rIns="91440" bIns="45720">
          <a:noAutofit/>
        </a:bodyPr>
        <a:lstStyle/>
        <a:p>
          <a:pPr algn="ctr"/>
          <a:r>
            <a:rPr lang="zh-CN" altLang="en-US" sz="3600" b="1" cap="none" spc="0">
              <a:ln w="12700">
                <a:noFill/>
                <a:prstDash val="solid"/>
              </a:ln>
              <a:solidFill>
                <a:schemeClr val="tx2">
                  <a:alpha val="33000"/>
                </a:schemeClr>
              </a:solidFill>
              <a:effectLst/>
            </a:rPr>
            <a:t>仅供中国移动内部使用</a:t>
          </a:r>
        </a:p>
      </xdr:txBody>
    </xdr:sp>
    <xdr:clientData/>
  </xdr:oneCellAnchor>
  <xdr:twoCellAnchor>
    <xdr:from>
      <xdr:col>0</xdr:col>
      <xdr:colOff>598170</xdr:colOff>
      <xdr:row>39</xdr:row>
      <xdr:rowOff>135890</xdr:rowOff>
    </xdr:from>
    <xdr:to>
      <xdr:col>16</xdr:col>
      <xdr:colOff>65314</xdr:colOff>
      <xdr:row>60</xdr:row>
      <xdr:rowOff>76200</xdr:rowOff>
    </xdr:to>
    <xdr:sp macro="" textlink="">
      <xdr:nvSpPr>
        <xdr:cNvPr id="4" name="矩形 3"/>
        <xdr:cNvSpPr/>
      </xdr:nvSpPr>
      <xdr:spPr>
        <a:xfrm>
          <a:off x="598170" y="14733905"/>
          <a:ext cx="19834860" cy="3674110"/>
        </a:xfrm>
        <a:prstGeom prst="rect">
          <a:avLst/>
        </a:prstGeom>
        <a:solidFill>
          <a:schemeClr val="bg2"/>
        </a:solidFill>
      </xdr:spPr>
      <xdr:txBody>
        <a:bodyPr wrap="square"/>
        <a:lstStyle>
          <a:defPPr>
            <a:defRPr lang="zh-CN"/>
          </a:defPPr>
          <a:lvl1pPr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1pPr>
          <a:lvl2pPr marL="457200"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2pPr>
          <a:lvl3pPr marL="914400"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3pPr>
          <a:lvl4pPr marL="1371600"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4pPr>
          <a:lvl5pPr marL="1828800"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5pPr>
          <a:lvl6pPr marL="2286000" algn="l" defTabSz="914400" rtl="0" eaLnBrk="1" latinLnBrk="0" hangingPunct="1">
            <a:defRPr kern="1200">
              <a:solidFill>
                <a:schemeClr val="tx1"/>
              </a:solidFill>
              <a:latin typeface="Arial" panose="020B0604020202020204" pitchFamily="7" charset="0"/>
              <a:ea typeface="宋体" panose="02010600030101010101" pitchFamily="7" charset="-122"/>
              <a:cs typeface="+mn-cs"/>
            </a:defRPr>
          </a:lvl6pPr>
          <a:lvl7pPr marL="2743200" algn="l" defTabSz="914400" rtl="0" eaLnBrk="1" latinLnBrk="0" hangingPunct="1">
            <a:defRPr kern="1200">
              <a:solidFill>
                <a:schemeClr val="tx1"/>
              </a:solidFill>
              <a:latin typeface="Arial" panose="020B0604020202020204" pitchFamily="7" charset="0"/>
              <a:ea typeface="宋体" panose="02010600030101010101" pitchFamily="7" charset="-122"/>
              <a:cs typeface="+mn-cs"/>
            </a:defRPr>
          </a:lvl7pPr>
          <a:lvl8pPr marL="3200400" algn="l" defTabSz="914400" rtl="0" eaLnBrk="1" latinLnBrk="0" hangingPunct="1">
            <a:defRPr kern="1200">
              <a:solidFill>
                <a:schemeClr val="tx1"/>
              </a:solidFill>
              <a:latin typeface="Arial" panose="020B0604020202020204" pitchFamily="7" charset="0"/>
              <a:ea typeface="宋体" panose="02010600030101010101" pitchFamily="7" charset="-122"/>
              <a:cs typeface="+mn-cs"/>
            </a:defRPr>
          </a:lvl8pPr>
          <a:lvl9pPr marL="3657600" algn="l" defTabSz="914400" rtl="0" eaLnBrk="1" latinLnBrk="0" hangingPunct="1">
            <a:defRPr kern="1200">
              <a:solidFill>
                <a:schemeClr val="tx1"/>
              </a:solidFill>
              <a:latin typeface="Arial" panose="020B0604020202020204" pitchFamily="7" charset="0"/>
              <a:ea typeface="宋体" panose="02010600030101010101" pitchFamily="7" charset="-122"/>
              <a:cs typeface="+mn-cs"/>
            </a:defRPr>
          </a:lvl9pPr>
        </a:lstStyle>
        <a:p>
          <a:pPr marL="467995" indent="-457200">
            <a:lnSpc>
              <a:spcPct val="120000"/>
            </a:lnSpc>
            <a:buFont typeface="Wingdings" panose="05000000000000000000" pitchFamily="2" charset="2"/>
            <a:buChar char="p"/>
          </a:pPr>
          <a:r>
            <a:rPr lang="zh-CN" altLang="zh-CN" sz="1200" b="1">
              <a:solidFill>
                <a:srgbClr val="000000"/>
              </a:solidFill>
              <a:latin typeface="微软雅黑" panose="020B0503020204020204" pitchFamily="34" charset="-122"/>
              <a:ea typeface="微软雅黑" panose="020B0503020204020204" pitchFamily="34" charset="-122"/>
            </a:rPr>
            <a:t>封顶</a:t>
          </a:r>
          <a:r>
            <a:rPr lang="zh-CN" altLang="en-US" sz="1200" b="1">
              <a:solidFill>
                <a:srgbClr val="000000"/>
              </a:solidFill>
              <a:latin typeface="微软雅黑" panose="020B0503020204020204" pitchFamily="34" charset="-122"/>
              <a:ea typeface="微软雅黑" panose="020B0503020204020204" pitchFamily="34" charset="-122"/>
            </a:rPr>
            <a:t>规则</a:t>
          </a:r>
          <a:r>
            <a:rPr lang="zh-CN" altLang="zh-CN" sz="1200" b="1">
              <a:solidFill>
                <a:srgbClr val="000000"/>
              </a:solidFill>
              <a:latin typeface="微软雅黑" panose="020B0503020204020204" pitchFamily="34" charset="-122"/>
              <a:ea typeface="微软雅黑" panose="020B0503020204020204" pitchFamily="34" charset="-122"/>
            </a:rPr>
            <a:t>：</a:t>
          </a:r>
          <a:r>
            <a:rPr lang="zh-CN" altLang="en-US" sz="1200" b="0">
              <a:solidFill>
                <a:srgbClr val="000000"/>
              </a:solidFill>
              <a:latin typeface="微软雅黑" panose="020B0503020204020204" pitchFamily="34" charset="-122"/>
              <a:ea typeface="微软雅黑" panose="020B0503020204020204" pitchFamily="34" charset="-122"/>
            </a:rPr>
            <a:t>月套餐</a:t>
          </a:r>
          <a:r>
            <a:rPr lang="en-US" altLang="zh-CN" sz="1200">
              <a:solidFill>
                <a:srgbClr val="000000"/>
              </a:solidFill>
              <a:latin typeface="微软雅黑" panose="020B0503020204020204" pitchFamily="34" charset="-122"/>
              <a:ea typeface="微软雅黑" panose="020B0503020204020204" pitchFamily="34" charset="-122"/>
            </a:rPr>
            <a:t>1TB</a:t>
          </a:r>
          <a:r>
            <a:rPr lang="zh-CN" altLang="zh-CN" sz="1200">
              <a:solidFill>
                <a:srgbClr val="000000"/>
              </a:solidFill>
              <a:latin typeface="微软雅黑" panose="020B0503020204020204" pitchFamily="34" charset="-122"/>
              <a:ea typeface="微软雅黑" panose="020B0503020204020204" pitchFamily="34" charset="-122"/>
            </a:rPr>
            <a:t>以下档位按照</a:t>
          </a:r>
          <a:r>
            <a:rPr lang="en-US" altLang="zh-CN" sz="1200">
              <a:solidFill>
                <a:srgbClr val="000000"/>
              </a:solidFill>
              <a:latin typeface="微软雅黑" panose="020B0503020204020204" pitchFamily="34" charset="-122"/>
              <a:ea typeface="微软雅黑" panose="020B0503020204020204" pitchFamily="34" charset="-122"/>
            </a:rPr>
            <a:t>500</a:t>
          </a:r>
          <a:r>
            <a:rPr lang="zh-CN" altLang="zh-CN" sz="1200">
              <a:solidFill>
                <a:srgbClr val="000000"/>
              </a:solidFill>
              <a:latin typeface="微软雅黑" panose="020B0503020204020204" pitchFamily="34" charset="-122"/>
              <a:ea typeface="微软雅黑" panose="020B0503020204020204" pitchFamily="34" charset="-122"/>
            </a:rPr>
            <a:t>元封顶，</a:t>
          </a:r>
          <a:r>
            <a:rPr lang="en-US" altLang="zh-CN" sz="1200">
              <a:solidFill>
                <a:srgbClr val="000000"/>
              </a:solidFill>
              <a:latin typeface="微软雅黑" panose="020B0503020204020204" pitchFamily="34" charset="-122"/>
              <a:ea typeface="微软雅黑" panose="020B0503020204020204" pitchFamily="34" charset="-122"/>
            </a:rPr>
            <a:t>1TB</a:t>
          </a:r>
          <a:r>
            <a:rPr lang="zh-CN" altLang="zh-CN" sz="1200">
              <a:solidFill>
                <a:srgbClr val="000000"/>
              </a:solidFill>
              <a:latin typeface="微软雅黑" panose="020B0503020204020204" pitchFamily="34" charset="-122"/>
              <a:ea typeface="微软雅黑" panose="020B0503020204020204" pitchFamily="34" charset="-122"/>
            </a:rPr>
            <a:t>及以上档位按照</a:t>
          </a:r>
          <a:r>
            <a:rPr lang="en-US" altLang="zh-CN" sz="1200">
              <a:solidFill>
                <a:srgbClr val="000000"/>
              </a:solidFill>
              <a:latin typeface="微软雅黑" panose="020B0503020204020204" pitchFamily="34" charset="-122"/>
              <a:ea typeface="微软雅黑" panose="020B0503020204020204" pitchFamily="34" charset="-122"/>
            </a:rPr>
            <a:t>3000</a:t>
          </a:r>
          <a:r>
            <a:rPr lang="zh-CN" altLang="zh-CN" sz="1200">
              <a:solidFill>
                <a:srgbClr val="000000"/>
              </a:solidFill>
              <a:latin typeface="微软雅黑" panose="020B0503020204020204" pitchFamily="34" charset="-122"/>
              <a:ea typeface="微软雅黑" panose="020B0503020204020204" pitchFamily="34" charset="-122"/>
            </a:rPr>
            <a:t>元封顶</a:t>
          </a:r>
          <a:r>
            <a:rPr lang="zh-CN" altLang="en-US" sz="1200">
              <a:solidFill>
                <a:srgbClr val="000000"/>
              </a:solidFill>
              <a:latin typeface="微软雅黑" panose="020B0503020204020204" pitchFamily="34" charset="-122"/>
              <a:ea typeface="微软雅黑" panose="020B0503020204020204" pitchFamily="34" charset="-122"/>
            </a:rPr>
            <a:t>。</a:t>
          </a:r>
          <a:r>
            <a:rPr lang="zh-CN" altLang="zh-CN" sz="1200">
              <a:solidFill>
                <a:srgbClr val="000000"/>
              </a:solidFill>
              <a:latin typeface="微软雅黑" panose="020B0503020204020204" pitchFamily="34" charset="-122"/>
              <a:ea typeface="微软雅黑" panose="020B0503020204020204" pitchFamily="34" charset="-122"/>
            </a:rPr>
            <a:t>当用户套外资费到达相应金额时，停止上网功能</a:t>
          </a:r>
          <a:r>
            <a:rPr lang="zh-CN" altLang="en-US" sz="1200">
              <a:solidFill>
                <a:srgbClr val="000000"/>
              </a:solidFill>
              <a:latin typeface="微软雅黑" panose="020B0503020204020204" pitchFamily="34" charset="-122"/>
              <a:ea typeface="微软雅黑" panose="020B0503020204020204" pitchFamily="34" charset="-122"/>
            </a:rPr>
            <a:t>；</a:t>
          </a:r>
          <a:r>
            <a:rPr lang="zh-CN" altLang="zh-CN" sz="1200">
              <a:solidFill>
                <a:srgbClr val="000000"/>
              </a:solidFill>
              <a:latin typeface="微软雅黑" panose="020B0503020204020204" pitchFamily="34" charset="-122"/>
              <a:ea typeface="微软雅黑" panose="020B0503020204020204" pitchFamily="34" charset="-122"/>
            </a:rPr>
            <a:t>客户可申请打开上网功能，上网功能打开后，按照</a:t>
          </a:r>
          <a:r>
            <a:rPr lang="en-US" altLang="zh-CN" sz="1200">
              <a:solidFill>
                <a:srgbClr val="000000"/>
              </a:solidFill>
              <a:latin typeface="微软雅黑" panose="020B0503020204020204" pitchFamily="34" charset="-122"/>
              <a:ea typeface="微软雅黑" panose="020B0503020204020204" pitchFamily="34" charset="-122"/>
            </a:rPr>
            <a:t>3</a:t>
          </a:r>
          <a:r>
            <a:rPr lang="zh-CN" altLang="zh-CN" sz="1200">
              <a:solidFill>
                <a:srgbClr val="000000"/>
              </a:solidFill>
              <a:latin typeface="微软雅黑" panose="020B0503020204020204" pitchFamily="34" charset="-122"/>
              <a:ea typeface="微软雅黑" panose="020B0503020204020204" pitchFamily="34" charset="-122"/>
            </a:rPr>
            <a:t>元</a:t>
          </a:r>
          <a:r>
            <a:rPr lang="en-US" altLang="zh-CN" sz="1200">
              <a:solidFill>
                <a:srgbClr val="000000"/>
              </a:solidFill>
              <a:latin typeface="微软雅黑" panose="020B0503020204020204" pitchFamily="34" charset="-122"/>
              <a:ea typeface="微软雅黑" panose="020B0503020204020204" pitchFamily="34" charset="-122"/>
            </a:rPr>
            <a:t>/GB</a:t>
          </a:r>
          <a:r>
            <a:rPr lang="zh-CN" altLang="zh-CN" sz="1200">
              <a:solidFill>
                <a:srgbClr val="000000"/>
              </a:solidFill>
              <a:latin typeface="微软雅黑" panose="020B0503020204020204" pitchFamily="34" charset="-122"/>
              <a:ea typeface="微软雅黑" panose="020B0503020204020204" pitchFamily="34" charset="-122"/>
            </a:rPr>
            <a:t>标准收费，当月流量费用不再封顶，次月恢复</a:t>
          </a:r>
          <a:r>
            <a:rPr lang="zh-CN" altLang="en-US" sz="1200">
              <a:solidFill>
                <a:srgbClr val="000000"/>
              </a:solidFill>
              <a:latin typeface="微软雅黑" panose="020B0503020204020204" pitchFamily="34" charset="-122"/>
              <a:ea typeface="微软雅黑" panose="020B0503020204020204" pitchFamily="34" charset="-122"/>
            </a:rPr>
            <a:t>。</a:t>
          </a:r>
          <a:endParaRPr lang="en-US" altLang="zh-CN" sz="1200">
            <a:solidFill>
              <a:srgbClr val="000000"/>
            </a:solidFill>
            <a:latin typeface="微软雅黑" panose="020B0503020204020204" pitchFamily="34" charset="-122"/>
            <a:ea typeface="微软雅黑" panose="020B0503020204020204" pitchFamily="34" charset="-122"/>
          </a:endParaRPr>
        </a:p>
        <a:p>
          <a:pPr marL="467995" indent="-457200">
            <a:lnSpc>
              <a:spcPct val="120000"/>
            </a:lnSpc>
            <a:buFont typeface="Wingdings" panose="05000000000000000000" pitchFamily="2" charset="2"/>
            <a:buChar char="p"/>
          </a:pPr>
          <a:r>
            <a:rPr lang="zh-CN" altLang="en-US" sz="1200" b="1">
              <a:solidFill>
                <a:srgbClr val="000000"/>
              </a:solidFill>
              <a:latin typeface="微软雅黑" panose="020B0503020204020204" pitchFamily="34" charset="-122"/>
              <a:ea typeface="微软雅黑" panose="020B0503020204020204" pitchFamily="34" charset="-122"/>
            </a:rPr>
            <a:t>长周期包有效期：</a:t>
          </a:r>
          <a:r>
            <a:rPr lang="zh-CN" altLang="en-US" sz="1200">
              <a:solidFill>
                <a:srgbClr val="000000"/>
              </a:solidFill>
              <a:latin typeface="微软雅黑" panose="020B0503020204020204" pitchFamily="34" charset="-122"/>
              <a:ea typeface="微软雅黑" panose="020B0503020204020204" pitchFamily="34" charset="-122"/>
            </a:rPr>
            <a:t>长周期包免费资源有效时间从生效之日起按天计算，季包为</a:t>
          </a:r>
          <a:r>
            <a:rPr lang="en-US" altLang="zh-CN" sz="1200">
              <a:solidFill>
                <a:srgbClr val="000000"/>
              </a:solidFill>
              <a:latin typeface="微软雅黑" panose="020B0503020204020204" pitchFamily="34" charset="-122"/>
              <a:ea typeface="微软雅黑" panose="020B0503020204020204" pitchFamily="34" charset="-122"/>
            </a:rPr>
            <a:t>90</a:t>
          </a:r>
          <a:r>
            <a:rPr lang="zh-CN" altLang="en-US" sz="1200">
              <a:solidFill>
                <a:srgbClr val="000000"/>
              </a:solidFill>
              <a:latin typeface="微软雅黑" panose="020B0503020204020204" pitchFamily="34" charset="-122"/>
              <a:ea typeface="微软雅黑" panose="020B0503020204020204" pitchFamily="34" charset="-122"/>
            </a:rPr>
            <a:t>天、半年包为</a:t>
          </a:r>
          <a:r>
            <a:rPr lang="en-US" altLang="zh-CN" sz="1200">
              <a:solidFill>
                <a:srgbClr val="000000"/>
              </a:solidFill>
              <a:latin typeface="微软雅黑" panose="020B0503020204020204" pitchFamily="34" charset="-122"/>
              <a:ea typeface="微软雅黑" panose="020B0503020204020204" pitchFamily="34" charset="-122"/>
            </a:rPr>
            <a:t>180</a:t>
          </a:r>
          <a:r>
            <a:rPr lang="zh-CN" altLang="en-US" sz="1200">
              <a:solidFill>
                <a:srgbClr val="000000"/>
              </a:solidFill>
              <a:latin typeface="微软雅黑" panose="020B0503020204020204" pitchFamily="34" charset="-122"/>
              <a:ea typeface="微软雅黑" panose="020B0503020204020204" pitchFamily="34" charset="-122"/>
            </a:rPr>
            <a:t>天、年包为</a:t>
          </a:r>
          <a:r>
            <a:rPr lang="en-US" altLang="zh-CN" sz="1200">
              <a:solidFill>
                <a:srgbClr val="000000"/>
              </a:solidFill>
              <a:latin typeface="微软雅黑" panose="020B0503020204020204" pitchFamily="34" charset="-122"/>
              <a:ea typeface="微软雅黑" panose="020B0503020204020204" pitchFamily="34" charset="-122"/>
            </a:rPr>
            <a:t>360</a:t>
          </a:r>
          <a:r>
            <a:rPr lang="zh-CN" altLang="en-US" sz="1200">
              <a:solidFill>
                <a:srgbClr val="000000"/>
              </a:solidFill>
              <a:latin typeface="微软雅黑" panose="020B0503020204020204" pitchFamily="34" charset="-122"/>
              <a:ea typeface="微软雅黑" panose="020B0503020204020204" pitchFamily="34" charset="-122"/>
            </a:rPr>
            <a:t>天。</a:t>
          </a:r>
          <a:endParaRPr lang="en-US" altLang="zh-CN" sz="1200">
            <a:solidFill>
              <a:srgbClr val="000000"/>
            </a:solidFill>
            <a:latin typeface="微软雅黑" panose="020B0503020204020204" pitchFamily="34" charset="-122"/>
            <a:ea typeface="微软雅黑" panose="020B0503020204020204" pitchFamily="34" charset="-122"/>
          </a:endParaRPr>
        </a:p>
        <a:p>
          <a:pPr marL="467995" indent="-457200">
            <a:lnSpc>
              <a:spcPct val="120000"/>
            </a:lnSpc>
            <a:buFont typeface="Wingdings" panose="05000000000000000000" pitchFamily="2" charset="2"/>
            <a:buChar char="p"/>
          </a:pPr>
          <a:r>
            <a:rPr lang="zh-CN" altLang="en-US" sz="1200" b="1">
              <a:solidFill>
                <a:srgbClr val="000000"/>
              </a:solidFill>
              <a:latin typeface="微软雅黑" panose="020B0503020204020204" pitchFamily="34" charset="-122"/>
              <a:ea typeface="微软雅黑" panose="020B0503020204020204" pitchFamily="34" charset="-122"/>
            </a:rPr>
            <a:t>测试期套餐超套：</a:t>
          </a:r>
          <a:r>
            <a:rPr lang="zh-CN" altLang="en-US" sz="1200">
              <a:solidFill>
                <a:srgbClr val="000000"/>
              </a:solidFill>
              <a:latin typeface="微软雅黑" panose="020B0503020204020204" pitchFamily="34" charset="-122"/>
              <a:ea typeface="微软雅黑" panose="020B0503020204020204" pitchFamily="34" charset="-122"/>
            </a:rPr>
            <a:t>测试期套餐超套后、用户没有有效套餐时按照标准资费批价</a:t>
          </a:r>
          <a:r>
            <a:rPr lang="en-US" altLang="zh-CN" sz="1200">
              <a:solidFill>
                <a:srgbClr val="000000"/>
              </a:solidFill>
              <a:latin typeface="微软雅黑" panose="020B0503020204020204" pitchFamily="34" charset="-122"/>
              <a:ea typeface="微软雅黑" panose="020B0503020204020204" pitchFamily="34" charset="-122"/>
            </a:rPr>
            <a:t>(0.29</a:t>
          </a:r>
          <a:r>
            <a:rPr lang="zh-CN" altLang="en-US" sz="1200">
              <a:solidFill>
                <a:srgbClr val="000000"/>
              </a:solidFill>
              <a:latin typeface="微软雅黑" panose="020B0503020204020204" pitchFamily="34" charset="-122"/>
              <a:ea typeface="微软雅黑" panose="020B0503020204020204" pitchFamily="34" charset="-122"/>
            </a:rPr>
            <a:t>元</a:t>
          </a:r>
          <a:r>
            <a:rPr lang="en-US" altLang="zh-CN" sz="1200">
              <a:solidFill>
                <a:srgbClr val="000000"/>
              </a:solidFill>
              <a:latin typeface="微软雅黑" panose="020B0503020204020204" pitchFamily="34" charset="-122"/>
              <a:ea typeface="微软雅黑" panose="020B0503020204020204" pitchFamily="34" charset="-122"/>
            </a:rPr>
            <a:t>/M)</a:t>
          </a:r>
          <a:r>
            <a:rPr lang="zh-CN" altLang="en-US" sz="1200">
              <a:solidFill>
                <a:srgbClr val="000000"/>
              </a:solidFill>
              <a:latin typeface="微软雅黑" panose="020B0503020204020204" pitchFamily="34" charset="-122"/>
              <a:ea typeface="微软雅黑" panose="020B0503020204020204" pitchFamily="34" charset="-122"/>
            </a:rPr>
            <a:t>，双封顶按“</a:t>
          </a:r>
          <a:r>
            <a:rPr lang="en-US" altLang="zh-CN" sz="1200">
              <a:solidFill>
                <a:srgbClr val="000000"/>
              </a:solidFill>
              <a:latin typeface="微软雅黑" panose="020B0503020204020204" pitchFamily="34" charset="-122"/>
              <a:ea typeface="微软雅黑" panose="020B0503020204020204" pitchFamily="34" charset="-122"/>
            </a:rPr>
            <a:t>50</a:t>
          </a:r>
          <a:r>
            <a:rPr lang="zh-CN" altLang="en-US" sz="1200">
              <a:solidFill>
                <a:srgbClr val="000000"/>
              </a:solidFill>
              <a:latin typeface="微软雅黑" panose="020B0503020204020204" pitchFamily="34" charset="-122"/>
              <a:ea typeface="微软雅黑" panose="020B0503020204020204" pitchFamily="34" charset="-122"/>
            </a:rPr>
            <a:t>元</a:t>
          </a:r>
          <a:r>
            <a:rPr lang="en-US" altLang="zh-CN" sz="1200">
              <a:solidFill>
                <a:srgbClr val="000000"/>
              </a:solidFill>
              <a:latin typeface="微软雅黑" panose="020B0503020204020204" pitchFamily="34" charset="-122"/>
              <a:ea typeface="微软雅黑" panose="020B0503020204020204" pitchFamily="34" charset="-122"/>
            </a:rPr>
            <a:t>200M”</a:t>
          </a:r>
          <a:r>
            <a:rPr lang="zh-CN" altLang="en-US" sz="1200">
              <a:solidFill>
                <a:srgbClr val="000000"/>
              </a:solidFill>
              <a:latin typeface="微软雅黑" panose="020B0503020204020204" pitchFamily="34" charset="-122"/>
              <a:ea typeface="微软雅黑" panose="020B0503020204020204" pitchFamily="34" charset="-122"/>
            </a:rPr>
            <a:t>执行。</a:t>
          </a:r>
          <a:r>
            <a:rPr lang="zh-CN" altLang="zh-CN" sz="1200" kern="1200">
              <a:solidFill>
                <a:srgbClr val="000000"/>
              </a:solidFill>
              <a:latin typeface="微软雅黑" panose="020B0503020204020204" pitchFamily="34" charset="-122"/>
              <a:ea typeface="微软雅黑" panose="020B0503020204020204" pitchFamily="34" charset="-122"/>
              <a:cs typeface="+mn-cs"/>
            </a:rPr>
            <a:t>同一个集团客户限制只能订购</a:t>
          </a:r>
          <a:r>
            <a:rPr lang="en-US" altLang="zh-CN" sz="1200" kern="1200">
              <a:solidFill>
                <a:srgbClr val="000000"/>
              </a:solidFill>
              <a:latin typeface="微软雅黑" panose="020B0503020204020204" pitchFamily="34" charset="-122"/>
              <a:ea typeface="微软雅黑" panose="020B0503020204020204" pitchFamily="34" charset="-122"/>
              <a:cs typeface="+mn-cs"/>
            </a:rPr>
            <a:t>3</a:t>
          </a:r>
          <a:r>
            <a:rPr lang="zh-CN" altLang="zh-CN" sz="1200" kern="1200">
              <a:solidFill>
                <a:srgbClr val="000000"/>
              </a:solidFill>
              <a:latin typeface="微软雅黑" panose="020B0503020204020204" pitchFamily="34" charset="-122"/>
              <a:ea typeface="微软雅黑" panose="020B0503020204020204" pitchFamily="34" charset="-122"/>
              <a:cs typeface="+mn-cs"/>
            </a:rPr>
            <a:t>档</a:t>
          </a:r>
          <a:r>
            <a:rPr lang="zh-CN" altLang="en-US" sz="1200" kern="1200">
              <a:solidFill>
                <a:srgbClr val="000000"/>
              </a:solidFill>
              <a:latin typeface="微软雅黑" panose="020B0503020204020204" pitchFamily="34" charset="-122"/>
              <a:ea typeface="微软雅黑" panose="020B0503020204020204" pitchFamily="34" charset="-122"/>
              <a:cs typeface="+mn-cs"/>
            </a:rPr>
            <a:t>大流量</a:t>
          </a:r>
          <a:r>
            <a:rPr lang="zh-CN" altLang="zh-CN" sz="1200" kern="1200">
              <a:solidFill>
                <a:srgbClr val="000000"/>
              </a:solidFill>
              <a:latin typeface="微软雅黑" panose="020B0503020204020204" pitchFamily="34" charset="-122"/>
              <a:ea typeface="微软雅黑" panose="020B0503020204020204" pitchFamily="34" charset="-122"/>
              <a:cs typeface="+mn-cs"/>
            </a:rPr>
            <a:t>测试期套餐</a:t>
          </a:r>
          <a:r>
            <a:rPr lang="zh-CN" altLang="en-US" sz="1200" kern="1200">
              <a:solidFill>
                <a:srgbClr val="000000"/>
              </a:solidFill>
              <a:latin typeface="微软雅黑" panose="020B0503020204020204" pitchFamily="34" charset="-122"/>
              <a:ea typeface="微软雅黑" panose="020B0503020204020204" pitchFamily="34" charset="-122"/>
              <a:cs typeface="+mn-cs"/>
            </a:rPr>
            <a:t>（流量大于等于</a:t>
          </a:r>
          <a:r>
            <a:rPr lang="en-US" altLang="zh-CN" sz="1200" kern="1200">
              <a:solidFill>
                <a:srgbClr val="000000"/>
              </a:solidFill>
              <a:latin typeface="微软雅黑" panose="020B0503020204020204" pitchFamily="34" charset="-122"/>
              <a:ea typeface="微软雅黑" panose="020B0503020204020204" pitchFamily="34" charset="-122"/>
              <a:cs typeface="+mn-cs"/>
            </a:rPr>
            <a:t>1T</a:t>
          </a:r>
          <a:r>
            <a:rPr lang="zh-CN" altLang="en-US" sz="1200" kern="1200">
              <a:solidFill>
                <a:srgbClr val="000000"/>
              </a:solidFill>
              <a:latin typeface="微软雅黑" panose="020B0503020204020204" pitchFamily="34" charset="-122"/>
              <a:ea typeface="微软雅黑" panose="020B0503020204020204" pitchFamily="34" charset="-122"/>
              <a:cs typeface="+mn-cs"/>
            </a:rPr>
            <a:t>）</a:t>
          </a:r>
          <a:r>
            <a:rPr lang="zh-CN" altLang="zh-CN" sz="1200" kern="1200">
              <a:solidFill>
                <a:srgbClr val="000000"/>
              </a:solidFill>
              <a:latin typeface="微软雅黑" panose="020B0503020204020204" pitchFamily="34" charset="-122"/>
              <a:ea typeface="微软雅黑" panose="020B0503020204020204" pitchFamily="34" charset="-122"/>
              <a:cs typeface="+mn-cs"/>
            </a:rPr>
            <a:t>其中一档</a:t>
          </a:r>
          <a:r>
            <a:rPr lang="zh-CN" altLang="en-US" sz="1200" kern="1200">
              <a:solidFill>
                <a:srgbClr val="000000"/>
              </a:solidFill>
              <a:latin typeface="微软雅黑" panose="020B0503020204020204" pitchFamily="34" charset="-122"/>
              <a:ea typeface="微软雅黑" panose="020B0503020204020204" pitchFamily="34" charset="-122"/>
              <a:cs typeface="+mn-cs"/>
            </a:rPr>
            <a:t>。</a:t>
          </a:r>
          <a:endParaRPr lang="en-US" altLang="zh-CN" sz="1200" kern="1200">
            <a:solidFill>
              <a:srgbClr val="000000"/>
            </a:solidFill>
            <a:latin typeface="微软雅黑" panose="020B0503020204020204" pitchFamily="34" charset="-122"/>
            <a:ea typeface="微软雅黑" panose="020B0503020204020204" pitchFamily="34" charset="-122"/>
            <a:cs typeface="+mn-cs"/>
          </a:endParaRPr>
        </a:p>
        <a:p>
          <a:pPr marL="467995" indent="-457200">
            <a:lnSpc>
              <a:spcPct val="120000"/>
            </a:lnSpc>
            <a:buFont typeface="Wingdings" panose="05000000000000000000" pitchFamily="2" charset="2"/>
            <a:buChar char="p"/>
          </a:pPr>
          <a:r>
            <a:rPr lang="zh-CN" altLang="en-US" sz="1200" b="1">
              <a:solidFill>
                <a:srgbClr val="000000"/>
              </a:solidFill>
              <a:latin typeface="微软雅黑" panose="020B0503020204020204" pitchFamily="34" charset="-122"/>
              <a:ea typeface="微软雅黑" panose="020B0503020204020204" pitchFamily="34" charset="-122"/>
            </a:rPr>
            <a:t>“本地环回” 定义：</a:t>
          </a:r>
          <a:r>
            <a:rPr lang="zh-CN" altLang="en-US" sz="1200">
              <a:solidFill>
                <a:srgbClr val="000000"/>
              </a:solidFill>
              <a:latin typeface="微软雅黑" panose="020B0503020204020204" pitchFamily="34" charset="-122"/>
              <a:ea typeface="微软雅黑" panose="020B0503020204020204" pitchFamily="34" charset="-122"/>
            </a:rPr>
            <a:t>本地环回流量指终端在本地环境下访问同一环境下的本地服务器产生的流量。</a:t>
          </a:r>
        </a:p>
        <a:p>
          <a:pPr marL="467995" indent="-457200">
            <a:lnSpc>
              <a:spcPct val="120000"/>
            </a:lnSpc>
            <a:buFont typeface="Wingdings" panose="05000000000000000000" pitchFamily="2" charset="2"/>
            <a:buChar char="p"/>
          </a:pPr>
          <a:r>
            <a:rPr lang="en-US" altLang="zh-CN" sz="1200" b="1">
              <a:solidFill>
                <a:srgbClr val="000000"/>
              </a:solidFill>
              <a:latin typeface="微软雅黑" panose="020B0503020204020204" pitchFamily="34" charset="-122"/>
              <a:ea typeface="微软雅黑" panose="020B0503020204020204" pitchFamily="34" charset="-122"/>
            </a:rPr>
            <a:t>5G</a:t>
          </a:r>
          <a:r>
            <a:rPr lang="zh-CN" altLang="en-US" sz="1200" b="1">
              <a:solidFill>
                <a:srgbClr val="000000"/>
              </a:solidFill>
              <a:latin typeface="微软雅黑" panose="020B0503020204020204" pitchFamily="34" charset="-122"/>
              <a:ea typeface="微软雅黑" panose="020B0503020204020204" pitchFamily="34" charset="-122"/>
            </a:rPr>
            <a:t>网络权益：</a:t>
          </a:r>
          <a:r>
            <a:rPr lang="zh-CN" altLang="en-US" sz="1200" b="0">
              <a:solidFill>
                <a:srgbClr val="000000"/>
              </a:solidFill>
              <a:latin typeface="微软雅黑" panose="020B0503020204020204" pitchFamily="34" charset="-122"/>
              <a:ea typeface="微软雅黑" panose="020B0503020204020204" pitchFamily="34" charset="-122"/>
            </a:rPr>
            <a:t>提供</a:t>
          </a:r>
          <a:r>
            <a:rPr lang="en-US" altLang="zh-CN" sz="1200" b="0">
              <a:solidFill>
                <a:srgbClr val="000000"/>
              </a:solidFill>
              <a:latin typeface="微软雅黑" panose="020B0503020204020204" pitchFamily="34" charset="-122"/>
              <a:ea typeface="微软雅黑" panose="020B0503020204020204" pitchFamily="34" charset="-122"/>
            </a:rPr>
            <a:t>5G</a:t>
          </a:r>
          <a:r>
            <a:rPr lang="zh-CN" altLang="en-US" sz="1200" b="0">
              <a:solidFill>
                <a:srgbClr val="000000"/>
              </a:solidFill>
              <a:latin typeface="微软雅黑" panose="020B0503020204020204" pitchFamily="34" charset="-122"/>
              <a:ea typeface="微软雅黑" panose="020B0503020204020204" pitchFamily="34" charset="-122"/>
            </a:rPr>
            <a:t>网络的高速服务。在</a:t>
          </a:r>
          <a:r>
            <a:rPr lang="en-US" altLang="zh-CN" sz="1200" b="0">
              <a:solidFill>
                <a:srgbClr val="000000"/>
              </a:solidFill>
              <a:latin typeface="微软雅黑" panose="020B0503020204020204" pitchFamily="34" charset="-122"/>
              <a:ea typeface="微软雅黑" panose="020B0503020204020204" pitchFamily="34" charset="-122"/>
            </a:rPr>
            <a:t>5G</a:t>
          </a:r>
          <a:r>
            <a:rPr lang="zh-CN" altLang="en-US" sz="1200" b="0">
              <a:solidFill>
                <a:srgbClr val="000000"/>
              </a:solidFill>
              <a:latin typeface="微软雅黑" panose="020B0503020204020204" pitchFamily="34" charset="-122"/>
              <a:ea typeface="微软雅黑" panose="020B0503020204020204" pitchFamily="34" charset="-122"/>
            </a:rPr>
            <a:t>网络覆盖良好且没有网络拥塞情况下，</a:t>
          </a:r>
          <a:r>
            <a:rPr lang="en-US" altLang="zh-CN" sz="1200" b="0">
              <a:solidFill>
                <a:srgbClr val="000000"/>
              </a:solidFill>
              <a:latin typeface="微软雅黑" panose="020B0503020204020204" pitchFamily="34" charset="-122"/>
              <a:ea typeface="微软雅黑" panose="020B0503020204020204" pitchFamily="34" charset="-122"/>
            </a:rPr>
            <a:t>5G</a:t>
          </a:r>
          <a:r>
            <a:rPr lang="zh-CN" altLang="en-US" sz="1200" b="0">
              <a:solidFill>
                <a:srgbClr val="000000"/>
              </a:solidFill>
              <a:latin typeface="微软雅黑" panose="020B0503020204020204" pitchFamily="34" charset="-122"/>
              <a:ea typeface="微软雅黑" panose="020B0503020204020204" pitchFamily="34" charset="-122"/>
            </a:rPr>
            <a:t>极速服务上下行峰值速率优于</a:t>
          </a:r>
          <a:r>
            <a:rPr lang="en-US" altLang="zh-CN" sz="1200" b="0">
              <a:solidFill>
                <a:srgbClr val="000000"/>
              </a:solidFill>
              <a:latin typeface="微软雅黑" panose="020B0503020204020204" pitchFamily="34" charset="-122"/>
              <a:ea typeface="微软雅黑" panose="020B0503020204020204" pitchFamily="34" charset="-122"/>
            </a:rPr>
            <a:t>5G</a:t>
          </a:r>
          <a:r>
            <a:rPr lang="zh-CN" altLang="en-US" sz="1200" b="0">
              <a:solidFill>
                <a:srgbClr val="000000"/>
              </a:solidFill>
              <a:latin typeface="微软雅黑" panose="020B0503020204020204" pitchFamily="34" charset="-122"/>
              <a:ea typeface="微软雅黑" panose="020B0503020204020204" pitchFamily="34" charset="-122"/>
            </a:rPr>
            <a:t>畅联服务；提供更好的接入服务保障，在网络拥塞情况下，</a:t>
          </a:r>
          <a:r>
            <a:rPr lang="en-US" altLang="zh-CN" sz="1200" b="0">
              <a:solidFill>
                <a:srgbClr val="000000"/>
              </a:solidFill>
              <a:latin typeface="微软雅黑" panose="020B0503020204020204" pitchFamily="34" charset="-122"/>
              <a:ea typeface="微软雅黑" panose="020B0503020204020204" pitchFamily="34" charset="-122"/>
            </a:rPr>
            <a:t>5G</a:t>
          </a:r>
          <a:r>
            <a:rPr lang="zh-CN" altLang="en-US" sz="1200" b="0">
              <a:solidFill>
                <a:srgbClr val="000000"/>
              </a:solidFill>
              <a:latin typeface="微软雅黑" panose="020B0503020204020204" pitchFamily="34" charset="-122"/>
              <a:ea typeface="微软雅黑" panose="020B0503020204020204" pitchFamily="34" charset="-122"/>
            </a:rPr>
            <a:t>极速服务接入服务保障能力优于</a:t>
          </a:r>
          <a:r>
            <a:rPr lang="en-US" altLang="zh-CN" sz="1200" b="0">
              <a:solidFill>
                <a:srgbClr val="000000"/>
              </a:solidFill>
              <a:latin typeface="微软雅黑" panose="020B0503020204020204" pitchFamily="34" charset="-122"/>
              <a:ea typeface="微软雅黑" panose="020B0503020204020204" pitchFamily="34" charset="-122"/>
            </a:rPr>
            <a:t>5G</a:t>
          </a:r>
          <a:r>
            <a:rPr lang="zh-CN" altLang="en-US" sz="1200" b="0">
              <a:solidFill>
                <a:srgbClr val="000000"/>
              </a:solidFill>
              <a:latin typeface="微软雅黑" panose="020B0503020204020204" pitchFamily="34" charset="-122"/>
              <a:ea typeface="微软雅黑" panose="020B0503020204020204" pitchFamily="34" charset="-122"/>
            </a:rPr>
            <a:t>畅联服务。</a:t>
          </a:r>
          <a:endParaRPr lang="en-US" altLang="zh-CN" sz="1200" b="1">
            <a:solidFill>
              <a:srgbClr val="000000"/>
            </a:solidFill>
            <a:latin typeface="微软雅黑" panose="020B0503020204020204" pitchFamily="34" charset="-122"/>
            <a:ea typeface="微软雅黑" panose="020B0503020204020204" pitchFamily="34" charset="-122"/>
          </a:endParaRPr>
        </a:p>
        <a:p>
          <a:pPr marL="467995" indent="-457200">
            <a:lnSpc>
              <a:spcPct val="120000"/>
            </a:lnSpc>
            <a:buFont typeface="Wingdings" panose="05000000000000000000" pitchFamily="2" charset="2"/>
            <a:buChar char="p"/>
          </a:pPr>
          <a:r>
            <a:rPr lang="zh-CN" altLang="en-US" sz="1200" b="1">
              <a:solidFill>
                <a:srgbClr val="000000"/>
              </a:solidFill>
              <a:latin typeface="微软雅黑" panose="020B0503020204020204" pitchFamily="34" charset="-122"/>
              <a:ea typeface="微软雅黑" panose="020B0503020204020204" pitchFamily="34" charset="-122"/>
            </a:rPr>
            <a:t>折扣管理：</a:t>
          </a:r>
          <a:r>
            <a:rPr lang="zh-CN" altLang="en-US" sz="1200" b="0">
              <a:solidFill>
                <a:srgbClr val="000000"/>
              </a:solidFill>
              <a:latin typeface="微软雅黑" panose="020B0503020204020204" pitchFamily="34" charset="-122"/>
              <a:ea typeface="微软雅黑" panose="020B0503020204020204" pitchFamily="34" charset="-122"/>
            </a:rPr>
            <a:t>套餐折扣在底价之上，由各公司自行审批；如需突破折扣底线的，各公司须经省公司分管领导专题会审批通过后再上报总部审批。申请和审批流程与现行物联网</a:t>
          </a:r>
          <a:r>
            <a:rPr lang="en-US" altLang="zh-CN" sz="1200" b="0">
              <a:solidFill>
                <a:srgbClr val="000000"/>
              </a:solidFill>
              <a:latin typeface="微软雅黑" panose="020B0503020204020204" pitchFamily="34" charset="-122"/>
              <a:ea typeface="微软雅黑" panose="020B0503020204020204" pitchFamily="34" charset="-122"/>
            </a:rPr>
            <a:t>2020</a:t>
          </a:r>
          <a:r>
            <a:rPr lang="zh-CN" altLang="en-US" sz="1200" b="0">
              <a:solidFill>
                <a:srgbClr val="000000"/>
              </a:solidFill>
              <a:latin typeface="微软雅黑" panose="020B0503020204020204" pitchFamily="34" charset="-122"/>
              <a:ea typeface="微软雅黑" panose="020B0503020204020204" pitchFamily="34" charset="-122"/>
            </a:rPr>
            <a:t>新资费折扣审批流程一致。</a:t>
          </a:r>
        </a:p>
        <a:p>
          <a:pPr marL="467995" marR="0" indent="-457200" algn="l" defTabSz="914400" rtl="0" eaLnBrk="0" fontAlgn="base" latinLnBrk="0" hangingPunct="0">
            <a:lnSpc>
              <a:spcPct val="120000"/>
            </a:lnSpc>
            <a:spcBef>
              <a:spcPct val="0"/>
            </a:spcBef>
            <a:spcAft>
              <a:spcPct val="0"/>
            </a:spcAft>
            <a:buClrTx/>
            <a:buSzTx/>
            <a:buFont typeface="Wingdings" panose="05000000000000000000" pitchFamily="2" charset="2"/>
            <a:buChar char="p"/>
            <a:defRPr/>
          </a:pPr>
          <a:r>
            <a:rPr lang="zh-CN" altLang="en-US" sz="1200" b="1">
              <a:solidFill>
                <a:srgbClr val="000000"/>
              </a:solidFill>
              <a:latin typeface="微软雅黑" panose="020B0503020204020204" pitchFamily="34" charset="-122"/>
              <a:ea typeface="微软雅黑" panose="020B0503020204020204" pitchFamily="34" charset="-122"/>
            </a:rPr>
            <a:t>结算规则</a:t>
          </a:r>
          <a:r>
            <a:rPr lang="zh-CN" altLang="zh-CN" sz="1200" b="1">
              <a:solidFill>
                <a:srgbClr val="000000"/>
              </a:solidFill>
              <a:latin typeface="微软雅黑" panose="020B0503020204020204" pitchFamily="34" charset="-122"/>
              <a:ea typeface="微软雅黑" panose="020B0503020204020204" pitchFamily="34" charset="-122"/>
            </a:rPr>
            <a:t>：</a:t>
          </a:r>
          <a:r>
            <a:rPr lang="zh-CN" altLang="zh-CN" sz="1200">
              <a:solidFill>
                <a:srgbClr val="000000"/>
              </a:solidFill>
              <a:latin typeface="微软雅黑" panose="020B0503020204020204" pitchFamily="34" charset="-122"/>
              <a:ea typeface="微软雅黑" panose="020B0503020204020204" pitchFamily="34" charset="-122"/>
            </a:rPr>
            <a:t>销售省公司按流量费目录价的</a:t>
          </a:r>
          <a:r>
            <a:rPr lang="en-US" altLang="zh-CN" sz="1200">
              <a:solidFill>
                <a:srgbClr val="000000"/>
              </a:solidFill>
              <a:latin typeface="微软雅黑" panose="020B0503020204020204" pitchFamily="34" charset="-122"/>
              <a:ea typeface="微软雅黑" panose="020B0503020204020204" pitchFamily="34" charset="-122"/>
            </a:rPr>
            <a:t>20%</a:t>
          </a:r>
          <a:r>
            <a:rPr lang="zh-CN" altLang="zh-CN" sz="1200">
              <a:solidFill>
                <a:srgbClr val="000000"/>
              </a:solidFill>
              <a:latin typeface="微软雅黑" panose="020B0503020204020204" pitchFamily="34" charset="-122"/>
              <a:ea typeface="微软雅黑" panose="020B0503020204020204" pitchFamily="34" charset="-122"/>
            </a:rPr>
            <a:t>向使用地公司进行结算</a:t>
          </a:r>
          <a:r>
            <a:rPr lang="zh-CN" altLang="en-US" sz="1200">
              <a:solidFill>
                <a:srgbClr val="000000"/>
              </a:solidFill>
              <a:latin typeface="微软雅黑" panose="020B0503020204020204" pitchFamily="34" charset="-122"/>
              <a:ea typeface="微软雅黑" panose="020B0503020204020204" pitchFamily="34" charset="-122"/>
            </a:rPr>
            <a:t>，流量池和流量共享的</a:t>
          </a:r>
          <a:r>
            <a:rPr lang="zh-CN" altLang="en-US" sz="1200" b="1">
              <a:solidFill>
                <a:srgbClr val="000000"/>
              </a:solidFill>
              <a:latin typeface="微软雅黑" panose="020B0503020204020204" pitchFamily="34" charset="-122"/>
              <a:ea typeface="微软雅黑" panose="020B0503020204020204" pitchFamily="34" charset="-122"/>
            </a:rPr>
            <a:t>月功能费不结算。</a:t>
          </a:r>
          <a:endParaRPr lang="en-US" altLang="zh-CN" sz="1200" b="1">
            <a:solidFill>
              <a:srgbClr val="000000"/>
            </a:solidFill>
            <a:latin typeface="微软雅黑" panose="020B0503020204020204" pitchFamily="34" charset="-122"/>
            <a:ea typeface="微软雅黑" panose="020B0503020204020204" pitchFamily="34" charset="-122"/>
          </a:endParaRPr>
        </a:p>
      </xdr:txBody>
    </xdr:sp>
    <xdr:clientData/>
  </xdr:twoCellAnchor>
  <xdr:twoCellAnchor>
    <xdr:from>
      <xdr:col>0</xdr:col>
      <xdr:colOff>598170</xdr:colOff>
      <xdr:row>39</xdr:row>
      <xdr:rowOff>135890</xdr:rowOff>
    </xdr:from>
    <xdr:to>
      <xdr:col>16</xdr:col>
      <xdr:colOff>65314</xdr:colOff>
      <xdr:row>60</xdr:row>
      <xdr:rowOff>76200</xdr:rowOff>
    </xdr:to>
    <xdr:sp macro="" textlink="">
      <xdr:nvSpPr>
        <xdr:cNvPr id="10" name="矩形 9"/>
        <xdr:cNvSpPr/>
      </xdr:nvSpPr>
      <xdr:spPr>
        <a:xfrm>
          <a:off x="598170" y="14733905"/>
          <a:ext cx="19834860" cy="3674110"/>
        </a:xfrm>
        <a:prstGeom prst="rect">
          <a:avLst/>
        </a:prstGeom>
        <a:solidFill>
          <a:schemeClr val="bg2"/>
        </a:solidFill>
      </xdr:spPr>
      <xdr:txBody>
        <a:bodyPr wrap="square"/>
        <a:lstStyle>
          <a:defPPr>
            <a:defRPr lang="zh-CN"/>
          </a:defPPr>
          <a:lvl1pPr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1pPr>
          <a:lvl2pPr marL="457200"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2pPr>
          <a:lvl3pPr marL="914400"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3pPr>
          <a:lvl4pPr marL="1371600"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4pPr>
          <a:lvl5pPr marL="1828800"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5pPr>
          <a:lvl6pPr marL="2286000" algn="l" defTabSz="914400" rtl="0" eaLnBrk="1" latinLnBrk="0" hangingPunct="1">
            <a:defRPr kern="1200">
              <a:solidFill>
                <a:schemeClr val="tx1"/>
              </a:solidFill>
              <a:latin typeface="Arial" panose="020B0604020202020204" pitchFamily="7" charset="0"/>
              <a:ea typeface="宋体" panose="02010600030101010101" pitchFamily="7" charset="-122"/>
              <a:cs typeface="+mn-cs"/>
            </a:defRPr>
          </a:lvl6pPr>
          <a:lvl7pPr marL="2743200" algn="l" defTabSz="914400" rtl="0" eaLnBrk="1" latinLnBrk="0" hangingPunct="1">
            <a:defRPr kern="1200">
              <a:solidFill>
                <a:schemeClr val="tx1"/>
              </a:solidFill>
              <a:latin typeface="Arial" panose="020B0604020202020204" pitchFamily="7" charset="0"/>
              <a:ea typeface="宋体" panose="02010600030101010101" pitchFamily="7" charset="-122"/>
              <a:cs typeface="+mn-cs"/>
            </a:defRPr>
          </a:lvl7pPr>
          <a:lvl8pPr marL="3200400" algn="l" defTabSz="914400" rtl="0" eaLnBrk="1" latinLnBrk="0" hangingPunct="1">
            <a:defRPr kern="1200">
              <a:solidFill>
                <a:schemeClr val="tx1"/>
              </a:solidFill>
              <a:latin typeface="Arial" panose="020B0604020202020204" pitchFamily="7" charset="0"/>
              <a:ea typeface="宋体" panose="02010600030101010101" pitchFamily="7" charset="-122"/>
              <a:cs typeface="+mn-cs"/>
            </a:defRPr>
          </a:lvl8pPr>
          <a:lvl9pPr marL="3657600" algn="l" defTabSz="914400" rtl="0" eaLnBrk="1" latinLnBrk="0" hangingPunct="1">
            <a:defRPr kern="1200">
              <a:solidFill>
                <a:schemeClr val="tx1"/>
              </a:solidFill>
              <a:latin typeface="Arial" panose="020B0604020202020204" pitchFamily="7" charset="0"/>
              <a:ea typeface="宋体" panose="02010600030101010101" pitchFamily="7" charset="-122"/>
              <a:cs typeface="+mn-cs"/>
            </a:defRPr>
          </a:lvl9pPr>
        </a:lstStyle>
        <a:p>
          <a:pPr marL="467995" indent="-457200">
            <a:lnSpc>
              <a:spcPct val="120000"/>
            </a:lnSpc>
            <a:buFont typeface="Wingdings" panose="05000000000000000000" pitchFamily="2" charset="2"/>
            <a:buChar char="p"/>
          </a:pPr>
          <a:r>
            <a:rPr lang="zh-CN" altLang="zh-CN" sz="1200" b="1">
              <a:solidFill>
                <a:srgbClr val="000000"/>
              </a:solidFill>
              <a:latin typeface="微软雅黑" panose="020B0503020204020204" pitchFamily="34" charset="-122"/>
              <a:ea typeface="微软雅黑" panose="020B0503020204020204" pitchFamily="34" charset="-122"/>
            </a:rPr>
            <a:t>封顶</a:t>
          </a:r>
          <a:r>
            <a:rPr lang="zh-CN" altLang="en-US" sz="1200" b="1">
              <a:solidFill>
                <a:srgbClr val="000000"/>
              </a:solidFill>
              <a:latin typeface="微软雅黑" panose="020B0503020204020204" pitchFamily="34" charset="-122"/>
              <a:ea typeface="微软雅黑" panose="020B0503020204020204" pitchFamily="34" charset="-122"/>
            </a:rPr>
            <a:t>规则</a:t>
          </a:r>
          <a:r>
            <a:rPr lang="zh-CN" altLang="zh-CN" sz="1200" b="1">
              <a:solidFill>
                <a:srgbClr val="000000"/>
              </a:solidFill>
              <a:latin typeface="微软雅黑" panose="020B0503020204020204" pitchFamily="34" charset="-122"/>
              <a:ea typeface="微软雅黑" panose="020B0503020204020204" pitchFamily="34" charset="-122"/>
            </a:rPr>
            <a:t>：</a:t>
          </a:r>
          <a:r>
            <a:rPr lang="zh-CN" altLang="en-US" sz="1200" b="0">
              <a:solidFill>
                <a:srgbClr val="000000"/>
              </a:solidFill>
              <a:latin typeface="微软雅黑" panose="020B0503020204020204" pitchFamily="34" charset="-122"/>
              <a:ea typeface="微软雅黑" panose="020B0503020204020204" pitchFamily="34" charset="-122"/>
            </a:rPr>
            <a:t>月套餐</a:t>
          </a:r>
          <a:r>
            <a:rPr lang="en-US" altLang="zh-CN" sz="1200">
              <a:solidFill>
                <a:srgbClr val="000000"/>
              </a:solidFill>
              <a:latin typeface="微软雅黑" panose="020B0503020204020204" pitchFamily="34" charset="-122"/>
              <a:ea typeface="微软雅黑" panose="020B0503020204020204" pitchFamily="34" charset="-122"/>
            </a:rPr>
            <a:t>1TB</a:t>
          </a:r>
          <a:r>
            <a:rPr lang="zh-CN" altLang="zh-CN" sz="1200">
              <a:solidFill>
                <a:srgbClr val="000000"/>
              </a:solidFill>
              <a:latin typeface="微软雅黑" panose="020B0503020204020204" pitchFamily="34" charset="-122"/>
              <a:ea typeface="微软雅黑" panose="020B0503020204020204" pitchFamily="34" charset="-122"/>
            </a:rPr>
            <a:t>以下档位按照</a:t>
          </a:r>
          <a:r>
            <a:rPr lang="en-US" altLang="zh-CN" sz="1200">
              <a:solidFill>
                <a:srgbClr val="000000"/>
              </a:solidFill>
              <a:latin typeface="微软雅黑" panose="020B0503020204020204" pitchFamily="34" charset="-122"/>
              <a:ea typeface="微软雅黑" panose="020B0503020204020204" pitchFamily="34" charset="-122"/>
            </a:rPr>
            <a:t>500</a:t>
          </a:r>
          <a:r>
            <a:rPr lang="zh-CN" altLang="zh-CN" sz="1200">
              <a:solidFill>
                <a:srgbClr val="000000"/>
              </a:solidFill>
              <a:latin typeface="微软雅黑" panose="020B0503020204020204" pitchFamily="34" charset="-122"/>
              <a:ea typeface="微软雅黑" panose="020B0503020204020204" pitchFamily="34" charset="-122"/>
            </a:rPr>
            <a:t>元封顶，</a:t>
          </a:r>
          <a:r>
            <a:rPr lang="en-US" altLang="zh-CN" sz="1200">
              <a:solidFill>
                <a:srgbClr val="000000"/>
              </a:solidFill>
              <a:latin typeface="微软雅黑" panose="020B0503020204020204" pitchFamily="34" charset="-122"/>
              <a:ea typeface="微软雅黑" panose="020B0503020204020204" pitchFamily="34" charset="-122"/>
            </a:rPr>
            <a:t>1TB</a:t>
          </a:r>
          <a:r>
            <a:rPr lang="zh-CN" altLang="zh-CN" sz="1200">
              <a:solidFill>
                <a:srgbClr val="000000"/>
              </a:solidFill>
              <a:latin typeface="微软雅黑" panose="020B0503020204020204" pitchFamily="34" charset="-122"/>
              <a:ea typeface="微软雅黑" panose="020B0503020204020204" pitchFamily="34" charset="-122"/>
            </a:rPr>
            <a:t>及以上档位按照</a:t>
          </a:r>
          <a:r>
            <a:rPr lang="en-US" altLang="zh-CN" sz="1200">
              <a:solidFill>
                <a:srgbClr val="000000"/>
              </a:solidFill>
              <a:latin typeface="微软雅黑" panose="020B0503020204020204" pitchFamily="34" charset="-122"/>
              <a:ea typeface="微软雅黑" panose="020B0503020204020204" pitchFamily="34" charset="-122"/>
            </a:rPr>
            <a:t>3000</a:t>
          </a:r>
          <a:r>
            <a:rPr lang="zh-CN" altLang="zh-CN" sz="1200">
              <a:solidFill>
                <a:srgbClr val="000000"/>
              </a:solidFill>
              <a:latin typeface="微软雅黑" panose="020B0503020204020204" pitchFamily="34" charset="-122"/>
              <a:ea typeface="微软雅黑" panose="020B0503020204020204" pitchFamily="34" charset="-122"/>
            </a:rPr>
            <a:t>元封顶</a:t>
          </a:r>
          <a:r>
            <a:rPr lang="zh-CN" altLang="en-US" sz="1200">
              <a:solidFill>
                <a:srgbClr val="000000"/>
              </a:solidFill>
              <a:latin typeface="微软雅黑" panose="020B0503020204020204" pitchFamily="34" charset="-122"/>
              <a:ea typeface="微软雅黑" panose="020B0503020204020204" pitchFamily="34" charset="-122"/>
            </a:rPr>
            <a:t>。</a:t>
          </a:r>
          <a:r>
            <a:rPr lang="zh-CN" altLang="zh-CN" sz="1200">
              <a:solidFill>
                <a:srgbClr val="000000"/>
              </a:solidFill>
              <a:latin typeface="微软雅黑" panose="020B0503020204020204" pitchFamily="34" charset="-122"/>
              <a:ea typeface="微软雅黑" panose="020B0503020204020204" pitchFamily="34" charset="-122"/>
            </a:rPr>
            <a:t>当用户套外资费到达相应金额时，停止上网功能</a:t>
          </a:r>
          <a:r>
            <a:rPr lang="zh-CN" altLang="en-US" sz="1200">
              <a:solidFill>
                <a:srgbClr val="000000"/>
              </a:solidFill>
              <a:latin typeface="微软雅黑" panose="020B0503020204020204" pitchFamily="34" charset="-122"/>
              <a:ea typeface="微软雅黑" panose="020B0503020204020204" pitchFamily="34" charset="-122"/>
            </a:rPr>
            <a:t>；</a:t>
          </a:r>
          <a:r>
            <a:rPr lang="zh-CN" altLang="zh-CN" sz="1200">
              <a:solidFill>
                <a:srgbClr val="000000"/>
              </a:solidFill>
              <a:latin typeface="微软雅黑" panose="020B0503020204020204" pitchFamily="34" charset="-122"/>
              <a:ea typeface="微软雅黑" panose="020B0503020204020204" pitchFamily="34" charset="-122"/>
            </a:rPr>
            <a:t>客户可申请打开上网功能，上网功能打开后，按照</a:t>
          </a:r>
          <a:r>
            <a:rPr lang="en-US" altLang="zh-CN" sz="1200">
              <a:solidFill>
                <a:srgbClr val="000000"/>
              </a:solidFill>
              <a:latin typeface="微软雅黑" panose="020B0503020204020204" pitchFamily="34" charset="-122"/>
              <a:ea typeface="微软雅黑" panose="020B0503020204020204" pitchFamily="34" charset="-122"/>
            </a:rPr>
            <a:t>3</a:t>
          </a:r>
          <a:r>
            <a:rPr lang="zh-CN" altLang="zh-CN" sz="1200">
              <a:solidFill>
                <a:srgbClr val="000000"/>
              </a:solidFill>
              <a:latin typeface="微软雅黑" panose="020B0503020204020204" pitchFamily="34" charset="-122"/>
              <a:ea typeface="微软雅黑" panose="020B0503020204020204" pitchFamily="34" charset="-122"/>
            </a:rPr>
            <a:t>元</a:t>
          </a:r>
          <a:r>
            <a:rPr lang="en-US" altLang="zh-CN" sz="1200">
              <a:solidFill>
                <a:srgbClr val="000000"/>
              </a:solidFill>
              <a:latin typeface="微软雅黑" panose="020B0503020204020204" pitchFamily="34" charset="-122"/>
              <a:ea typeface="微软雅黑" panose="020B0503020204020204" pitchFamily="34" charset="-122"/>
            </a:rPr>
            <a:t>/GB</a:t>
          </a:r>
          <a:r>
            <a:rPr lang="zh-CN" altLang="zh-CN" sz="1200">
              <a:solidFill>
                <a:srgbClr val="000000"/>
              </a:solidFill>
              <a:latin typeface="微软雅黑" panose="020B0503020204020204" pitchFamily="34" charset="-122"/>
              <a:ea typeface="微软雅黑" panose="020B0503020204020204" pitchFamily="34" charset="-122"/>
            </a:rPr>
            <a:t>标准收费，当月流量费用不再封顶，次月恢复</a:t>
          </a:r>
          <a:r>
            <a:rPr lang="zh-CN" altLang="en-US" sz="1200">
              <a:solidFill>
                <a:srgbClr val="000000"/>
              </a:solidFill>
              <a:latin typeface="微软雅黑" panose="020B0503020204020204" pitchFamily="34" charset="-122"/>
              <a:ea typeface="微软雅黑" panose="020B0503020204020204" pitchFamily="34" charset="-122"/>
            </a:rPr>
            <a:t>。</a:t>
          </a:r>
          <a:endParaRPr lang="en-US" altLang="zh-CN" sz="1200">
            <a:solidFill>
              <a:srgbClr val="000000"/>
            </a:solidFill>
            <a:latin typeface="微软雅黑" panose="020B0503020204020204" pitchFamily="34" charset="-122"/>
            <a:ea typeface="微软雅黑" panose="020B0503020204020204" pitchFamily="34" charset="-122"/>
          </a:endParaRPr>
        </a:p>
        <a:p>
          <a:pPr marL="467995" indent="-457200">
            <a:lnSpc>
              <a:spcPct val="120000"/>
            </a:lnSpc>
            <a:buFont typeface="Wingdings" panose="05000000000000000000" pitchFamily="2" charset="2"/>
            <a:buChar char="p"/>
          </a:pPr>
          <a:r>
            <a:rPr lang="zh-CN" altLang="en-US" sz="1200" b="1">
              <a:solidFill>
                <a:srgbClr val="000000"/>
              </a:solidFill>
              <a:latin typeface="微软雅黑" panose="020B0503020204020204" pitchFamily="34" charset="-122"/>
              <a:ea typeface="微软雅黑" panose="020B0503020204020204" pitchFamily="34" charset="-122"/>
            </a:rPr>
            <a:t>长周期包有效期：</a:t>
          </a:r>
          <a:r>
            <a:rPr lang="zh-CN" altLang="en-US" sz="1200">
              <a:solidFill>
                <a:srgbClr val="000000"/>
              </a:solidFill>
              <a:latin typeface="微软雅黑" panose="020B0503020204020204" pitchFamily="34" charset="-122"/>
              <a:ea typeface="微软雅黑" panose="020B0503020204020204" pitchFamily="34" charset="-122"/>
            </a:rPr>
            <a:t>长周期包免费资源有效时间从生效之日起按天计算，季包为</a:t>
          </a:r>
          <a:r>
            <a:rPr lang="en-US" altLang="zh-CN" sz="1200">
              <a:solidFill>
                <a:srgbClr val="000000"/>
              </a:solidFill>
              <a:latin typeface="微软雅黑" panose="020B0503020204020204" pitchFamily="34" charset="-122"/>
              <a:ea typeface="微软雅黑" panose="020B0503020204020204" pitchFamily="34" charset="-122"/>
            </a:rPr>
            <a:t>90</a:t>
          </a:r>
          <a:r>
            <a:rPr lang="zh-CN" altLang="en-US" sz="1200">
              <a:solidFill>
                <a:srgbClr val="000000"/>
              </a:solidFill>
              <a:latin typeface="微软雅黑" panose="020B0503020204020204" pitchFamily="34" charset="-122"/>
              <a:ea typeface="微软雅黑" panose="020B0503020204020204" pitchFamily="34" charset="-122"/>
            </a:rPr>
            <a:t>天、半年包为</a:t>
          </a:r>
          <a:r>
            <a:rPr lang="en-US" altLang="zh-CN" sz="1200">
              <a:solidFill>
                <a:srgbClr val="000000"/>
              </a:solidFill>
              <a:latin typeface="微软雅黑" panose="020B0503020204020204" pitchFamily="34" charset="-122"/>
              <a:ea typeface="微软雅黑" panose="020B0503020204020204" pitchFamily="34" charset="-122"/>
            </a:rPr>
            <a:t>180</a:t>
          </a:r>
          <a:r>
            <a:rPr lang="zh-CN" altLang="en-US" sz="1200">
              <a:solidFill>
                <a:srgbClr val="000000"/>
              </a:solidFill>
              <a:latin typeface="微软雅黑" panose="020B0503020204020204" pitchFamily="34" charset="-122"/>
              <a:ea typeface="微软雅黑" panose="020B0503020204020204" pitchFamily="34" charset="-122"/>
            </a:rPr>
            <a:t>天、年包为</a:t>
          </a:r>
          <a:r>
            <a:rPr lang="en-US" altLang="zh-CN" sz="1200">
              <a:solidFill>
                <a:srgbClr val="000000"/>
              </a:solidFill>
              <a:latin typeface="微软雅黑" panose="020B0503020204020204" pitchFamily="34" charset="-122"/>
              <a:ea typeface="微软雅黑" panose="020B0503020204020204" pitchFamily="34" charset="-122"/>
            </a:rPr>
            <a:t>360</a:t>
          </a:r>
          <a:r>
            <a:rPr lang="zh-CN" altLang="en-US" sz="1200">
              <a:solidFill>
                <a:srgbClr val="000000"/>
              </a:solidFill>
              <a:latin typeface="微软雅黑" panose="020B0503020204020204" pitchFamily="34" charset="-122"/>
              <a:ea typeface="微软雅黑" panose="020B0503020204020204" pitchFamily="34" charset="-122"/>
            </a:rPr>
            <a:t>天。</a:t>
          </a:r>
          <a:endParaRPr lang="en-US" altLang="zh-CN" sz="1200">
            <a:solidFill>
              <a:srgbClr val="000000"/>
            </a:solidFill>
            <a:latin typeface="微软雅黑" panose="020B0503020204020204" pitchFamily="34" charset="-122"/>
            <a:ea typeface="微软雅黑" panose="020B0503020204020204" pitchFamily="34" charset="-122"/>
          </a:endParaRPr>
        </a:p>
        <a:p>
          <a:pPr marL="467995" indent="-457200">
            <a:lnSpc>
              <a:spcPct val="120000"/>
            </a:lnSpc>
            <a:buFont typeface="Wingdings" panose="05000000000000000000" pitchFamily="2" charset="2"/>
            <a:buChar char="p"/>
          </a:pPr>
          <a:r>
            <a:rPr lang="zh-CN" altLang="en-US" sz="1200" b="1">
              <a:solidFill>
                <a:srgbClr val="000000"/>
              </a:solidFill>
              <a:latin typeface="微软雅黑" panose="020B0503020204020204" pitchFamily="34" charset="-122"/>
              <a:ea typeface="微软雅黑" panose="020B0503020204020204" pitchFamily="34" charset="-122"/>
            </a:rPr>
            <a:t>测试期套餐超套：</a:t>
          </a:r>
          <a:r>
            <a:rPr lang="zh-CN" altLang="en-US" sz="1200">
              <a:solidFill>
                <a:srgbClr val="000000"/>
              </a:solidFill>
              <a:latin typeface="微软雅黑" panose="020B0503020204020204" pitchFamily="34" charset="-122"/>
              <a:ea typeface="微软雅黑" panose="020B0503020204020204" pitchFamily="34" charset="-122"/>
            </a:rPr>
            <a:t>测试期套餐超套后、用户没有有效套餐时按照标准资费批价</a:t>
          </a:r>
          <a:r>
            <a:rPr lang="en-US" altLang="zh-CN" sz="1200">
              <a:solidFill>
                <a:srgbClr val="000000"/>
              </a:solidFill>
              <a:latin typeface="微软雅黑" panose="020B0503020204020204" pitchFamily="34" charset="-122"/>
              <a:ea typeface="微软雅黑" panose="020B0503020204020204" pitchFamily="34" charset="-122"/>
            </a:rPr>
            <a:t>(0.29</a:t>
          </a:r>
          <a:r>
            <a:rPr lang="zh-CN" altLang="en-US" sz="1200">
              <a:solidFill>
                <a:srgbClr val="000000"/>
              </a:solidFill>
              <a:latin typeface="微软雅黑" panose="020B0503020204020204" pitchFamily="34" charset="-122"/>
              <a:ea typeface="微软雅黑" panose="020B0503020204020204" pitchFamily="34" charset="-122"/>
            </a:rPr>
            <a:t>元</a:t>
          </a:r>
          <a:r>
            <a:rPr lang="en-US" altLang="zh-CN" sz="1200">
              <a:solidFill>
                <a:srgbClr val="000000"/>
              </a:solidFill>
              <a:latin typeface="微软雅黑" panose="020B0503020204020204" pitchFamily="34" charset="-122"/>
              <a:ea typeface="微软雅黑" panose="020B0503020204020204" pitchFamily="34" charset="-122"/>
            </a:rPr>
            <a:t>/M)</a:t>
          </a:r>
          <a:r>
            <a:rPr lang="zh-CN" altLang="en-US" sz="1200">
              <a:solidFill>
                <a:srgbClr val="000000"/>
              </a:solidFill>
              <a:latin typeface="微软雅黑" panose="020B0503020204020204" pitchFamily="34" charset="-122"/>
              <a:ea typeface="微软雅黑" panose="020B0503020204020204" pitchFamily="34" charset="-122"/>
            </a:rPr>
            <a:t>，双封顶按“</a:t>
          </a:r>
          <a:r>
            <a:rPr lang="en-US" altLang="zh-CN" sz="1200">
              <a:solidFill>
                <a:srgbClr val="000000"/>
              </a:solidFill>
              <a:latin typeface="微软雅黑" panose="020B0503020204020204" pitchFamily="34" charset="-122"/>
              <a:ea typeface="微软雅黑" panose="020B0503020204020204" pitchFamily="34" charset="-122"/>
            </a:rPr>
            <a:t>50</a:t>
          </a:r>
          <a:r>
            <a:rPr lang="zh-CN" altLang="en-US" sz="1200">
              <a:solidFill>
                <a:srgbClr val="000000"/>
              </a:solidFill>
              <a:latin typeface="微软雅黑" panose="020B0503020204020204" pitchFamily="34" charset="-122"/>
              <a:ea typeface="微软雅黑" panose="020B0503020204020204" pitchFamily="34" charset="-122"/>
            </a:rPr>
            <a:t>元</a:t>
          </a:r>
          <a:r>
            <a:rPr lang="en-US" altLang="zh-CN" sz="1200">
              <a:solidFill>
                <a:srgbClr val="000000"/>
              </a:solidFill>
              <a:latin typeface="微软雅黑" panose="020B0503020204020204" pitchFamily="34" charset="-122"/>
              <a:ea typeface="微软雅黑" panose="020B0503020204020204" pitchFamily="34" charset="-122"/>
            </a:rPr>
            <a:t>200M”</a:t>
          </a:r>
          <a:r>
            <a:rPr lang="zh-CN" altLang="en-US" sz="1200">
              <a:solidFill>
                <a:srgbClr val="000000"/>
              </a:solidFill>
              <a:latin typeface="微软雅黑" panose="020B0503020204020204" pitchFamily="34" charset="-122"/>
              <a:ea typeface="微软雅黑" panose="020B0503020204020204" pitchFamily="34" charset="-122"/>
            </a:rPr>
            <a:t>执行。</a:t>
          </a:r>
          <a:r>
            <a:rPr lang="zh-CN" altLang="zh-CN" sz="1200" kern="1200">
              <a:solidFill>
                <a:srgbClr val="000000"/>
              </a:solidFill>
              <a:latin typeface="微软雅黑" panose="020B0503020204020204" pitchFamily="34" charset="-122"/>
              <a:ea typeface="微软雅黑" panose="020B0503020204020204" pitchFamily="34" charset="-122"/>
              <a:cs typeface="+mn-cs"/>
            </a:rPr>
            <a:t>同一个集团客户限制只能订购</a:t>
          </a:r>
          <a:r>
            <a:rPr lang="en-US" altLang="zh-CN" sz="1200" kern="1200">
              <a:solidFill>
                <a:srgbClr val="000000"/>
              </a:solidFill>
              <a:latin typeface="微软雅黑" panose="020B0503020204020204" pitchFamily="34" charset="-122"/>
              <a:ea typeface="微软雅黑" panose="020B0503020204020204" pitchFamily="34" charset="-122"/>
              <a:cs typeface="+mn-cs"/>
            </a:rPr>
            <a:t>3</a:t>
          </a:r>
          <a:r>
            <a:rPr lang="zh-CN" altLang="zh-CN" sz="1200" kern="1200">
              <a:solidFill>
                <a:srgbClr val="000000"/>
              </a:solidFill>
              <a:latin typeface="微软雅黑" panose="020B0503020204020204" pitchFamily="34" charset="-122"/>
              <a:ea typeface="微软雅黑" panose="020B0503020204020204" pitchFamily="34" charset="-122"/>
              <a:cs typeface="+mn-cs"/>
            </a:rPr>
            <a:t>档</a:t>
          </a:r>
          <a:r>
            <a:rPr lang="zh-CN" altLang="en-US" sz="1200" kern="1200">
              <a:solidFill>
                <a:srgbClr val="000000"/>
              </a:solidFill>
              <a:latin typeface="微软雅黑" panose="020B0503020204020204" pitchFamily="34" charset="-122"/>
              <a:ea typeface="微软雅黑" panose="020B0503020204020204" pitchFamily="34" charset="-122"/>
              <a:cs typeface="+mn-cs"/>
            </a:rPr>
            <a:t>大流量</a:t>
          </a:r>
          <a:r>
            <a:rPr lang="zh-CN" altLang="zh-CN" sz="1200" kern="1200">
              <a:solidFill>
                <a:srgbClr val="000000"/>
              </a:solidFill>
              <a:latin typeface="微软雅黑" panose="020B0503020204020204" pitchFamily="34" charset="-122"/>
              <a:ea typeface="微软雅黑" panose="020B0503020204020204" pitchFamily="34" charset="-122"/>
              <a:cs typeface="+mn-cs"/>
            </a:rPr>
            <a:t>测试期套餐</a:t>
          </a:r>
          <a:r>
            <a:rPr lang="zh-CN" altLang="en-US" sz="1200" kern="1200">
              <a:solidFill>
                <a:srgbClr val="000000"/>
              </a:solidFill>
              <a:latin typeface="微软雅黑" panose="020B0503020204020204" pitchFamily="34" charset="-122"/>
              <a:ea typeface="微软雅黑" panose="020B0503020204020204" pitchFamily="34" charset="-122"/>
              <a:cs typeface="+mn-cs"/>
            </a:rPr>
            <a:t>（流量大于等于</a:t>
          </a:r>
          <a:r>
            <a:rPr lang="en-US" altLang="zh-CN" sz="1200" kern="1200">
              <a:solidFill>
                <a:srgbClr val="000000"/>
              </a:solidFill>
              <a:latin typeface="微软雅黑" panose="020B0503020204020204" pitchFamily="34" charset="-122"/>
              <a:ea typeface="微软雅黑" panose="020B0503020204020204" pitchFamily="34" charset="-122"/>
              <a:cs typeface="+mn-cs"/>
            </a:rPr>
            <a:t>1T</a:t>
          </a:r>
          <a:r>
            <a:rPr lang="zh-CN" altLang="en-US" sz="1200" kern="1200">
              <a:solidFill>
                <a:srgbClr val="000000"/>
              </a:solidFill>
              <a:latin typeface="微软雅黑" panose="020B0503020204020204" pitchFamily="34" charset="-122"/>
              <a:ea typeface="微软雅黑" panose="020B0503020204020204" pitchFamily="34" charset="-122"/>
              <a:cs typeface="+mn-cs"/>
            </a:rPr>
            <a:t>）</a:t>
          </a:r>
          <a:r>
            <a:rPr lang="zh-CN" altLang="zh-CN" sz="1200" kern="1200">
              <a:solidFill>
                <a:srgbClr val="000000"/>
              </a:solidFill>
              <a:latin typeface="微软雅黑" panose="020B0503020204020204" pitchFamily="34" charset="-122"/>
              <a:ea typeface="微软雅黑" panose="020B0503020204020204" pitchFamily="34" charset="-122"/>
              <a:cs typeface="+mn-cs"/>
            </a:rPr>
            <a:t>其中一档</a:t>
          </a:r>
          <a:r>
            <a:rPr lang="zh-CN" altLang="en-US" sz="1200" kern="1200">
              <a:solidFill>
                <a:srgbClr val="000000"/>
              </a:solidFill>
              <a:latin typeface="微软雅黑" panose="020B0503020204020204" pitchFamily="34" charset="-122"/>
              <a:ea typeface="微软雅黑" panose="020B0503020204020204" pitchFamily="34" charset="-122"/>
              <a:cs typeface="+mn-cs"/>
            </a:rPr>
            <a:t>。</a:t>
          </a:r>
          <a:endParaRPr lang="en-US" altLang="zh-CN" sz="1200" kern="1200">
            <a:solidFill>
              <a:srgbClr val="000000"/>
            </a:solidFill>
            <a:latin typeface="微软雅黑" panose="020B0503020204020204" pitchFamily="34" charset="-122"/>
            <a:ea typeface="微软雅黑" panose="020B0503020204020204" pitchFamily="34" charset="-122"/>
            <a:cs typeface="+mn-cs"/>
          </a:endParaRPr>
        </a:p>
        <a:p>
          <a:pPr marL="467995" indent="-457200">
            <a:lnSpc>
              <a:spcPct val="120000"/>
            </a:lnSpc>
            <a:buFont typeface="Wingdings" panose="05000000000000000000" pitchFamily="2" charset="2"/>
            <a:buChar char="p"/>
          </a:pPr>
          <a:r>
            <a:rPr lang="zh-CN" altLang="en-US" sz="1200" b="1">
              <a:solidFill>
                <a:srgbClr val="000000"/>
              </a:solidFill>
              <a:latin typeface="微软雅黑" panose="020B0503020204020204" pitchFamily="34" charset="-122"/>
              <a:ea typeface="微软雅黑" panose="020B0503020204020204" pitchFamily="34" charset="-122"/>
            </a:rPr>
            <a:t>“本地环回” 定义：</a:t>
          </a:r>
          <a:r>
            <a:rPr lang="zh-CN" altLang="en-US" sz="1200">
              <a:solidFill>
                <a:srgbClr val="000000"/>
              </a:solidFill>
              <a:latin typeface="微软雅黑" panose="020B0503020204020204" pitchFamily="34" charset="-122"/>
              <a:ea typeface="微软雅黑" panose="020B0503020204020204" pitchFamily="34" charset="-122"/>
            </a:rPr>
            <a:t>本地环回流量指终端在本地环境下访问同一环境下的本地服务器产生的流量。</a:t>
          </a:r>
        </a:p>
        <a:p>
          <a:pPr marL="467995" indent="-457200">
            <a:lnSpc>
              <a:spcPct val="120000"/>
            </a:lnSpc>
            <a:buFont typeface="Wingdings" panose="05000000000000000000" pitchFamily="2" charset="2"/>
            <a:buChar char="p"/>
          </a:pPr>
          <a:r>
            <a:rPr lang="en-US" altLang="zh-CN" sz="1200" b="1">
              <a:solidFill>
                <a:srgbClr val="000000"/>
              </a:solidFill>
              <a:latin typeface="微软雅黑" panose="020B0503020204020204" pitchFamily="34" charset="-122"/>
              <a:ea typeface="微软雅黑" panose="020B0503020204020204" pitchFamily="34" charset="-122"/>
            </a:rPr>
            <a:t>5G</a:t>
          </a:r>
          <a:r>
            <a:rPr lang="zh-CN" altLang="en-US" sz="1200" b="1">
              <a:solidFill>
                <a:srgbClr val="000000"/>
              </a:solidFill>
              <a:latin typeface="微软雅黑" panose="020B0503020204020204" pitchFamily="34" charset="-122"/>
              <a:ea typeface="微软雅黑" panose="020B0503020204020204" pitchFamily="34" charset="-122"/>
            </a:rPr>
            <a:t>网络权益：</a:t>
          </a:r>
          <a:r>
            <a:rPr lang="zh-CN" altLang="en-US" sz="1200" b="0">
              <a:solidFill>
                <a:srgbClr val="000000"/>
              </a:solidFill>
              <a:latin typeface="微软雅黑" panose="020B0503020204020204" pitchFamily="34" charset="-122"/>
              <a:ea typeface="微软雅黑" panose="020B0503020204020204" pitchFamily="34" charset="-122"/>
            </a:rPr>
            <a:t>提供</a:t>
          </a:r>
          <a:r>
            <a:rPr lang="en-US" altLang="zh-CN" sz="1200" b="0">
              <a:solidFill>
                <a:srgbClr val="000000"/>
              </a:solidFill>
              <a:latin typeface="微软雅黑" panose="020B0503020204020204" pitchFamily="34" charset="-122"/>
              <a:ea typeface="微软雅黑" panose="020B0503020204020204" pitchFamily="34" charset="-122"/>
            </a:rPr>
            <a:t>5G</a:t>
          </a:r>
          <a:r>
            <a:rPr lang="zh-CN" altLang="en-US" sz="1200" b="0">
              <a:solidFill>
                <a:srgbClr val="000000"/>
              </a:solidFill>
              <a:latin typeface="微软雅黑" panose="020B0503020204020204" pitchFamily="34" charset="-122"/>
              <a:ea typeface="微软雅黑" panose="020B0503020204020204" pitchFamily="34" charset="-122"/>
            </a:rPr>
            <a:t>网络的高速服务。在</a:t>
          </a:r>
          <a:r>
            <a:rPr lang="en-US" altLang="zh-CN" sz="1200" b="0">
              <a:solidFill>
                <a:srgbClr val="000000"/>
              </a:solidFill>
              <a:latin typeface="微软雅黑" panose="020B0503020204020204" pitchFamily="34" charset="-122"/>
              <a:ea typeface="微软雅黑" panose="020B0503020204020204" pitchFamily="34" charset="-122"/>
            </a:rPr>
            <a:t>5G</a:t>
          </a:r>
          <a:r>
            <a:rPr lang="zh-CN" altLang="en-US" sz="1200" b="0">
              <a:solidFill>
                <a:srgbClr val="000000"/>
              </a:solidFill>
              <a:latin typeface="微软雅黑" panose="020B0503020204020204" pitchFamily="34" charset="-122"/>
              <a:ea typeface="微软雅黑" panose="020B0503020204020204" pitchFamily="34" charset="-122"/>
            </a:rPr>
            <a:t>网络覆盖良好且没有网络拥塞情况下，</a:t>
          </a:r>
          <a:r>
            <a:rPr lang="en-US" altLang="zh-CN" sz="1200" b="0">
              <a:solidFill>
                <a:srgbClr val="000000"/>
              </a:solidFill>
              <a:latin typeface="微软雅黑" panose="020B0503020204020204" pitchFamily="34" charset="-122"/>
              <a:ea typeface="微软雅黑" panose="020B0503020204020204" pitchFamily="34" charset="-122"/>
            </a:rPr>
            <a:t>5G</a:t>
          </a:r>
          <a:r>
            <a:rPr lang="zh-CN" altLang="en-US" sz="1200" b="0">
              <a:solidFill>
                <a:srgbClr val="000000"/>
              </a:solidFill>
              <a:latin typeface="微软雅黑" panose="020B0503020204020204" pitchFamily="34" charset="-122"/>
              <a:ea typeface="微软雅黑" panose="020B0503020204020204" pitchFamily="34" charset="-122"/>
            </a:rPr>
            <a:t>极速服务上下行峰值速率优于</a:t>
          </a:r>
          <a:r>
            <a:rPr lang="en-US" altLang="zh-CN" sz="1200" b="0">
              <a:solidFill>
                <a:srgbClr val="000000"/>
              </a:solidFill>
              <a:latin typeface="微软雅黑" panose="020B0503020204020204" pitchFamily="34" charset="-122"/>
              <a:ea typeface="微软雅黑" panose="020B0503020204020204" pitchFamily="34" charset="-122"/>
            </a:rPr>
            <a:t>5G</a:t>
          </a:r>
          <a:r>
            <a:rPr lang="zh-CN" altLang="en-US" sz="1200" b="0">
              <a:solidFill>
                <a:srgbClr val="000000"/>
              </a:solidFill>
              <a:latin typeface="微软雅黑" panose="020B0503020204020204" pitchFamily="34" charset="-122"/>
              <a:ea typeface="微软雅黑" panose="020B0503020204020204" pitchFamily="34" charset="-122"/>
            </a:rPr>
            <a:t>畅联服务；提供更好的接入服务保障，在网络拥塞情况下，</a:t>
          </a:r>
          <a:r>
            <a:rPr lang="en-US" altLang="zh-CN" sz="1200" b="0">
              <a:solidFill>
                <a:srgbClr val="000000"/>
              </a:solidFill>
              <a:latin typeface="微软雅黑" panose="020B0503020204020204" pitchFamily="34" charset="-122"/>
              <a:ea typeface="微软雅黑" panose="020B0503020204020204" pitchFamily="34" charset="-122"/>
            </a:rPr>
            <a:t>5G</a:t>
          </a:r>
          <a:r>
            <a:rPr lang="zh-CN" altLang="en-US" sz="1200" b="0">
              <a:solidFill>
                <a:srgbClr val="000000"/>
              </a:solidFill>
              <a:latin typeface="微软雅黑" panose="020B0503020204020204" pitchFamily="34" charset="-122"/>
              <a:ea typeface="微软雅黑" panose="020B0503020204020204" pitchFamily="34" charset="-122"/>
            </a:rPr>
            <a:t>极速服务接入服务保障能力优于</a:t>
          </a:r>
          <a:r>
            <a:rPr lang="en-US" altLang="zh-CN" sz="1200" b="0">
              <a:solidFill>
                <a:srgbClr val="000000"/>
              </a:solidFill>
              <a:latin typeface="微软雅黑" panose="020B0503020204020204" pitchFamily="34" charset="-122"/>
              <a:ea typeface="微软雅黑" panose="020B0503020204020204" pitchFamily="34" charset="-122"/>
            </a:rPr>
            <a:t>5G</a:t>
          </a:r>
          <a:r>
            <a:rPr lang="zh-CN" altLang="en-US" sz="1200" b="0">
              <a:solidFill>
                <a:srgbClr val="000000"/>
              </a:solidFill>
              <a:latin typeface="微软雅黑" panose="020B0503020204020204" pitchFamily="34" charset="-122"/>
              <a:ea typeface="微软雅黑" panose="020B0503020204020204" pitchFamily="34" charset="-122"/>
            </a:rPr>
            <a:t>畅联服务。</a:t>
          </a:r>
          <a:endParaRPr lang="en-US" altLang="zh-CN" sz="1200" b="1">
            <a:solidFill>
              <a:srgbClr val="000000"/>
            </a:solidFill>
            <a:latin typeface="微软雅黑" panose="020B0503020204020204" pitchFamily="34" charset="-122"/>
            <a:ea typeface="微软雅黑" panose="020B0503020204020204" pitchFamily="34" charset="-122"/>
          </a:endParaRPr>
        </a:p>
        <a:p>
          <a:pPr marL="467995" indent="-457200">
            <a:lnSpc>
              <a:spcPct val="120000"/>
            </a:lnSpc>
            <a:buFont typeface="Wingdings" panose="05000000000000000000" pitchFamily="2" charset="2"/>
            <a:buChar char="p"/>
          </a:pPr>
          <a:r>
            <a:rPr lang="zh-CN" altLang="en-US" sz="1200" b="1">
              <a:solidFill>
                <a:srgbClr val="000000"/>
              </a:solidFill>
              <a:latin typeface="微软雅黑" panose="020B0503020204020204" pitchFamily="34" charset="-122"/>
              <a:ea typeface="微软雅黑" panose="020B0503020204020204" pitchFamily="34" charset="-122"/>
            </a:rPr>
            <a:t>折扣管理：</a:t>
          </a:r>
          <a:r>
            <a:rPr lang="zh-CN" altLang="en-US" sz="1200" b="0">
              <a:solidFill>
                <a:srgbClr val="000000"/>
              </a:solidFill>
              <a:latin typeface="微软雅黑" panose="020B0503020204020204" pitchFamily="34" charset="-122"/>
              <a:ea typeface="微软雅黑" panose="020B0503020204020204" pitchFamily="34" charset="-122"/>
            </a:rPr>
            <a:t>套餐折扣在底价之上，由各公司自行审批；如需突破折扣底线的，各公司须经省公司分管领导专题会审批通过后再上报总部审批。申请和审批流程与现行物联网</a:t>
          </a:r>
          <a:r>
            <a:rPr lang="en-US" altLang="zh-CN" sz="1200" b="0">
              <a:solidFill>
                <a:srgbClr val="000000"/>
              </a:solidFill>
              <a:latin typeface="微软雅黑" panose="020B0503020204020204" pitchFamily="34" charset="-122"/>
              <a:ea typeface="微软雅黑" panose="020B0503020204020204" pitchFamily="34" charset="-122"/>
            </a:rPr>
            <a:t>2020</a:t>
          </a:r>
          <a:r>
            <a:rPr lang="zh-CN" altLang="en-US" sz="1200" b="0">
              <a:solidFill>
                <a:srgbClr val="000000"/>
              </a:solidFill>
              <a:latin typeface="微软雅黑" panose="020B0503020204020204" pitchFamily="34" charset="-122"/>
              <a:ea typeface="微软雅黑" panose="020B0503020204020204" pitchFamily="34" charset="-122"/>
            </a:rPr>
            <a:t>新资费折扣审批流程一致。</a:t>
          </a:r>
        </a:p>
        <a:p>
          <a:pPr marL="467995" marR="0" indent="-457200" algn="l" defTabSz="914400" rtl="0" eaLnBrk="0" fontAlgn="base" latinLnBrk="0" hangingPunct="0">
            <a:lnSpc>
              <a:spcPct val="120000"/>
            </a:lnSpc>
            <a:spcBef>
              <a:spcPct val="0"/>
            </a:spcBef>
            <a:spcAft>
              <a:spcPct val="0"/>
            </a:spcAft>
            <a:buClrTx/>
            <a:buSzTx/>
            <a:buFont typeface="Wingdings" panose="05000000000000000000" pitchFamily="2" charset="2"/>
            <a:buChar char="p"/>
            <a:defRPr/>
          </a:pPr>
          <a:r>
            <a:rPr lang="zh-CN" altLang="en-US" sz="1200" b="1">
              <a:solidFill>
                <a:srgbClr val="000000"/>
              </a:solidFill>
              <a:latin typeface="微软雅黑" panose="020B0503020204020204" pitchFamily="34" charset="-122"/>
              <a:ea typeface="微软雅黑" panose="020B0503020204020204" pitchFamily="34" charset="-122"/>
            </a:rPr>
            <a:t>结算规则</a:t>
          </a:r>
          <a:r>
            <a:rPr lang="zh-CN" altLang="zh-CN" sz="1200" b="1">
              <a:solidFill>
                <a:srgbClr val="000000"/>
              </a:solidFill>
              <a:latin typeface="微软雅黑" panose="020B0503020204020204" pitchFamily="34" charset="-122"/>
              <a:ea typeface="微软雅黑" panose="020B0503020204020204" pitchFamily="34" charset="-122"/>
            </a:rPr>
            <a:t>：</a:t>
          </a:r>
          <a:r>
            <a:rPr lang="zh-CN" altLang="zh-CN" sz="1200">
              <a:solidFill>
                <a:srgbClr val="000000"/>
              </a:solidFill>
              <a:latin typeface="微软雅黑" panose="020B0503020204020204" pitchFamily="34" charset="-122"/>
              <a:ea typeface="微软雅黑" panose="020B0503020204020204" pitchFamily="34" charset="-122"/>
            </a:rPr>
            <a:t>销售省公司按流量费目录价的</a:t>
          </a:r>
          <a:r>
            <a:rPr lang="en-US" altLang="zh-CN" sz="1200">
              <a:solidFill>
                <a:srgbClr val="000000"/>
              </a:solidFill>
              <a:latin typeface="微软雅黑" panose="020B0503020204020204" pitchFamily="34" charset="-122"/>
              <a:ea typeface="微软雅黑" panose="020B0503020204020204" pitchFamily="34" charset="-122"/>
            </a:rPr>
            <a:t>20%</a:t>
          </a:r>
          <a:r>
            <a:rPr lang="zh-CN" altLang="zh-CN" sz="1200">
              <a:solidFill>
                <a:srgbClr val="000000"/>
              </a:solidFill>
              <a:latin typeface="微软雅黑" panose="020B0503020204020204" pitchFamily="34" charset="-122"/>
              <a:ea typeface="微软雅黑" panose="020B0503020204020204" pitchFamily="34" charset="-122"/>
            </a:rPr>
            <a:t>向使用地公司进行结算</a:t>
          </a:r>
          <a:r>
            <a:rPr lang="zh-CN" altLang="en-US" sz="1200">
              <a:solidFill>
                <a:srgbClr val="000000"/>
              </a:solidFill>
              <a:latin typeface="微软雅黑" panose="020B0503020204020204" pitchFamily="34" charset="-122"/>
              <a:ea typeface="微软雅黑" panose="020B0503020204020204" pitchFamily="34" charset="-122"/>
            </a:rPr>
            <a:t>，流量池和流量共享的</a:t>
          </a:r>
          <a:r>
            <a:rPr lang="zh-CN" altLang="en-US" sz="1200" b="1">
              <a:solidFill>
                <a:srgbClr val="000000"/>
              </a:solidFill>
              <a:latin typeface="微软雅黑" panose="020B0503020204020204" pitchFamily="34" charset="-122"/>
              <a:ea typeface="微软雅黑" panose="020B0503020204020204" pitchFamily="34" charset="-122"/>
            </a:rPr>
            <a:t>月功能费不结算。</a:t>
          </a:r>
          <a:r>
            <a:rPr lang="zh-CN" altLang="zh-CN" sz="1100" b="1" kern="1200">
              <a:solidFill>
                <a:schemeClr val="tx1"/>
              </a:solidFill>
              <a:latin typeface="微软雅黑" panose="020B0503020204020204" pitchFamily="34" charset="-122"/>
              <a:ea typeface="微软雅黑" panose="020B0503020204020204" pitchFamily="34" charset="-122"/>
              <a:cs typeface="+mn-cs"/>
            </a:rPr>
            <a:t>车联网业务</a:t>
          </a:r>
          <a:r>
            <a:rPr lang="zh-CN" altLang="zh-CN" sz="1100" b="0" kern="1200">
              <a:solidFill>
                <a:schemeClr val="tx1"/>
              </a:solidFill>
              <a:latin typeface="微软雅黑" panose="020B0503020204020204" pitchFamily="34" charset="-122"/>
              <a:ea typeface="微软雅黑" panose="020B0503020204020204" pitchFamily="34" charset="-122"/>
              <a:cs typeface="+mn-cs"/>
            </a:rPr>
            <a:t>销售省公司按流量费目录价的</a:t>
          </a:r>
          <a:r>
            <a:rPr lang="en-US" altLang="zh-CN" sz="1100" b="0" kern="1200">
              <a:solidFill>
                <a:schemeClr val="tx1"/>
              </a:solidFill>
              <a:latin typeface="微软雅黑" panose="020B0503020204020204" pitchFamily="34" charset="-122"/>
              <a:ea typeface="微软雅黑" panose="020B0503020204020204" pitchFamily="34" charset="-122"/>
              <a:cs typeface="+mn-cs"/>
            </a:rPr>
            <a:t>10%</a:t>
          </a:r>
          <a:r>
            <a:rPr lang="zh-CN" altLang="zh-CN" sz="1100" b="0" kern="1200">
              <a:solidFill>
                <a:schemeClr val="tx1"/>
              </a:solidFill>
              <a:latin typeface="微软雅黑" panose="020B0503020204020204" pitchFamily="34" charset="-122"/>
              <a:ea typeface="微软雅黑" panose="020B0503020204020204" pitchFamily="34" charset="-122"/>
              <a:cs typeface="+mn-cs"/>
            </a:rPr>
            <a:t>向使用地公司进行结算</a:t>
          </a:r>
          <a:r>
            <a:rPr lang="zh-CN" altLang="en-US" sz="1100" b="0" kern="1200">
              <a:solidFill>
                <a:schemeClr val="tx1"/>
              </a:solidFill>
              <a:latin typeface="微软雅黑" panose="020B0503020204020204" pitchFamily="34" charset="-122"/>
              <a:ea typeface="微软雅黑" panose="020B0503020204020204" pitchFamily="34" charset="-122"/>
              <a:cs typeface="+mn-cs"/>
            </a:rPr>
            <a:t>。</a:t>
          </a:r>
          <a:endParaRPr lang="en-US" altLang="zh-CN" sz="1100" b="0" kern="1200">
            <a:solidFill>
              <a:schemeClr val="tx1"/>
            </a:solidFill>
            <a:latin typeface="微软雅黑" panose="020B0503020204020204" pitchFamily="34" charset="-122"/>
            <a:ea typeface="微软雅黑" panose="020B0503020204020204" pitchFamily="34" charset="-122"/>
            <a:cs typeface="+mn-cs"/>
          </a:endParaRPr>
        </a:p>
        <a:p>
          <a:pPr marL="467995" marR="0" indent="-457200" algn="l" defTabSz="914400" rtl="0" eaLnBrk="0" fontAlgn="base" latinLnBrk="0" hangingPunct="0">
            <a:lnSpc>
              <a:spcPct val="120000"/>
            </a:lnSpc>
            <a:spcBef>
              <a:spcPct val="0"/>
            </a:spcBef>
            <a:spcAft>
              <a:spcPct val="0"/>
            </a:spcAft>
            <a:buClrTx/>
            <a:buSzTx/>
            <a:buFont typeface="Wingdings" panose="05000000000000000000" pitchFamily="2" charset="2"/>
            <a:buChar char="p"/>
            <a:defRPr/>
          </a:pPr>
          <a:r>
            <a:rPr lang="zh-CN" altLang="en-US" sz="1100" b="0" kern="1200">
              <a:solidFill>
                <a:schemeClr val="tx1"/>
              </a:solidFill>
              <a:latin typeface="微软雅黑" panose="020B0503020204020204" pitchFamily="34" charset="-122"/>
              <a:ea typeface="微软雅黑" panose="020B0503020204020204" pitchFamily="34" charset="-122"/>
              <a:cs typeface="+mn-cs"/>
            </a:rPr>
            <a:t>注：车联网测试期及车联网结算上线时间另行通知。</a:t>
          </a:r>
          <a:endParaRPr lang="en-US" altLang="zh-CN" sz="1100" b="0" kern="1200">
            <a:solidFill>
              <a:schemeClr val="tx1"/>
            </a:solidFill>
            <a:latin typeface="微软雅黑" panose="020B0503020204020204" pitchFamily="34" charset="-122"/>
            <a:ea typeface="微软雅黑" panose="020B0503020204020204" pitchFamily="34" charset="-122"/>
            <a:cs typeface="+mn-cs"/>
          </a:endParaRPr>
        </a:p>
        <a:p>
          <a:pPr marL="467995" indent="-457200">
            <a:lnSpc>
              <a:spcPct val="120000"/>
            </a:lnSpc>
            <a:buFont typeface="Wingdings" panose="05000000000000000000" pitchFamily="2" charset="2"/>
            <a:buChar char="p"/>
          </a:pPr>
          <a:endParaRPr lang="en-US" altLang="zh-CN" sz="1200" b="1">
            <a:solidFill>
              <a:srgbClr val="000000"/>
            </a:solidFill>
            <a:latin typeface="微软雅黑" panose="020B0503020204020204" pitchFamily="34" charset="-122"/>
            <a:ea typeface="微软雅黑" panose="020B0503020204020204" pitchFamily="34" charset="-122"/>
          </a:endParaRPr>
        </a:p>
      </xdr:txBody>
    </xdr:sp>
    <xdr:clientData/>
  </xdr:twoCellAnchor>
  <xdr:twoCellAnchor>
    <xdr:from>
      <xdr:col>0</xdr:col>
      <xdr:colOff>598170</xdr:colOff>
      <xdr:row>39</xdr:row>
      <xdr:rowOff>135890</xdr:rowOff>
    </xdr:from>
    <xdr:to>
      <xdr:col>16</xdr:col>
      <xdr:colOff>65314</xdr:colOff>
      <xdr:row>60</xdr:row>
      <xdr:rowOff>76200</xdr:rowOff>
    </xdr:to>
    <xdr:sp macro="" textlink="">
      <xdr:nvSpPr>
        <xdr:cNvPr id="14" name="矩形 13"/>
        <xdr:cNvSpPr/>
      </xdr:nvSpPr>
      <xdr:spPr>
        <a:xfrm>
          <a:off x="598170" y="14733905"/>
          <a:ext cx="19834860" cy="3674110"/>
        </a:xfrm>
        <a:prstGeom prst="rect">
          <a:avLst/>
        </a:prstGeom>
        <a:solidFill>
          <a:schemeClr val="bg2"/>
        </a:solidFill>
      </xdr:spPr>
      <xdr:txBody>
        <a:bodyPr wrap="square"/>
        <a:lstStyle>
          <a:defPPr>
            <a:defRPr lang="zh-CN"/>
          </a:defPPr>
          <a:lvl1pPr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1pPr>
          <a:lvl2pPr marL="457200"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2pPr>
          <a:lvl3pPr marL="914400"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3pPr>
          <a:lvl4pPr marL="1371600"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4pPr>
          <a:lvl5pPr marL="1828800"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5pPr>
          <a:lvl6pPr marL="2286000" algn="l" defTabSz="914400" rtl="0" eaLnBrk="1" latinLnBrk="0" hangingPunct="1">
            <a:defRPr kern="1200">
              <a:solidFill>
                <a:schemeClr val="tx1"/>
              </a:solidFill>
              <a:latin typeface="Arial" panose="020B0604020202020204" pitchFamily="7" charset="0"/>
              <a:ea typeface="宋体" panose="02010600030101010101" pitchFamily="7" charset="-122"/>
              <a:cs typeface="+mn-cs"/>
            </a:defRPr>
          </a:lvl6pPr>
          <a:lvl7pPr marL="2743200" algn="l" defTabSz="914400" rtl="0" eaLnBrk="1" latinLnBrk="0" hangingPunct="1">
            <a:defRPr kern="1200">
              <a:solidFill>
                <a:schemeClr val="tx1"/>
              </a:solidFill>
              <a:latin typeface="Arial" panose="020B0604020202020204" pitchFamily="7" charset="0"/>
              <a:ea typeface="宋体" panose="02010600030101010101" pitchFamily="7" charset="-122"/>
              <a:cs typeface="+mn-cs"/>
            </a:defRPr>
          </a:lvl7pPr>
          <a:lvl8pPr marL="3200400" algn="l" defTabSz="914400" rtl="0" eaLnBrk="1" latinLnBrk="0" hangingPunct="1">
            <a:defRPr kern="1200">
              <a:solidFill>
                <a:schemeClr val="tx1"/>
              </a:solidFill>
              <a:latin typeface="Arial" panose="020B0604020202020204" pitchFamily="7" charset="0"/>
              <a:ea typeface="宋体" panose="02010600030101010101" pitchFamily="7" charset="-122"/>
              <a:cs typeface="+mn-cs"/>
            </a:defRPr>
          </a:lvl8pPr>
          <a:lvl9pPr marL="3657600" algn="l" defTabSz="914400" rtl="0" eaLnBrk="1" latinLnBrk="0" hangingPunct="1">
            <a:defRPr kern="1200">
              <a:solidFill>
                <a:schemeClr val="tx1"/>
              </a:solidFill>
              <a:latin typeface="Arial" panose="020B0604020202020204" pitchFamily="7" charset="0"/>
              <a:ea typeface="宋体" panose="02010600030101010101" pitchFamily="7" charset="-122"/>
              <a:cs typeface="+mn-cs"/>
            </a:defRPr>
          </a:lvl9pPr>
        </a:lstStyle>
        <a:p>
          <a:pPr marL="467995" indent="-457200">
            <a:lnSpc>
              <a:spcPct val="120000"/>
            </a:lnSpc>
            <a:buFont typeface="Wingdings" panose="05000000000000000000" pitchFamily="2" charset="2"/>
            <a:buChar char="p"/>
          </a:pPr>
          <a:r>
            <a:rPr lang="zh-CN" altLang="zh-CN" sz="1200" b="1">
              <a:solidFill>
                <a:srgbClr val="000000"/>
              </a:solidFill>
              <a:latin typeface="微软雅黑" panose="020B0503020204020204" pitchFamily="34" charset="-122"/>
              <a:ea typeface="微软雅黑" panose="020B0503020204020204" pitchFamily="34" charset="-122"/>
            </a:rPr>
            <a:t>封顶</a:t>
          </a:r>
          <a:r>
            <a:rPr lang="zh-CN" altLang="en-US" sz="1200" b="1">
              <a:solidFill>
                <a:srgbClr val="000000"/>
              </a:solidFill>
              <a:latin typeface="微软雅黑" panose="020B0503020204020204" pitchFamily="34" charset="-122"/>
              <a:ea typeface="微软雅黑" panose="020B0503020204020204" pitchFamily="34" charset="-122"/>
            </a:rPr>
            <a:t>规则</a:t>
          </a:r>
          <a:r>
            <a:rPr lang="zh-CN" altLang="zh-CN" sz="1200" b="1">
              <a:solidFill>
                <a:srgbClr val="000000"/>
              </a:solidFill>
              <a:latin typeface="微软雅黑" panose="020B0503020204020204" pitchFamily="34" charset="-122"/>
              <a:ea typeface="微软雅黑" panose="020B0503020204020204" pitchFamily="34" charset="-122"/>
            </a:rPr>
            <a:t>：</a:t>
          </a:r>
          <a:r>
            <a:rPr lang="zh-CN" altLang="en-US" sz="1200" b="0">
              <a:solidFill>
                <a:srgbClr val="000000"/>
              </a:solidFill>
              <a:latin typeface="微软雅黑" panose="020B0503020204020204" pitchFamily="34" charset="-122"/>
              <a:ea typeface="微软雅黑" panose="020B0503020204020204" pitchFamily="34" charset="-122"/>
            </a:rPr>
            <a:t>月套餐</a:t>
          </a:r>
          <a:r>
            <a:rPr lang="en-US" altLang="zh-CN" sz="1200">
              <a:solidFill>
                <a:srgbClr val="000000"/>
              </a:solidFill>
              <a:latin typeface="微软雅黑" panose="020B0503020204020204" pitchFamily="34" charset="-122"/>
              <a:ea typeface="微软雅黑" panose="020B0503020204020204" pitchFamily="34" charset="-122"/>
            </a:rPr>
            <a:t>1TB</a:t>
          </a:r>
          <a:r>
            <a:rPr lang="zh-CN" altLang="zh-CN" sz="1200">
              <a:solidFill>
                <a:srgbClr val="000000"/>
              </a:solidFill>
              <a:latin typeface="微软雅黑" panose="020B0503020204020204" pitchFamily="34" charset="-122"/>
              <a:ea typeface="微软雅黑" panose="020B0503020204020204" pitchFamily="34" charset="-122"/>
            </a:rPr>
            <a:t>以下档位按照</a:t>
          </a:r>
          <a:r>
            <a:rPr lang="en-US" altLang="zh-CN" sz="1200">
              <a:solidFill>
                <a:srgbClr val="000000"/>
              </a:solidFill>
              <a:latin typeface="微软雅黑" panose="020B0503020204020204" pitchFamily="34" charset="-122"/>
              <a:ea typeface="微软雅黑" panose="020B0503020204020204" pitchFamily="34" charset="-122"/>
            </a:rPr>
            <a:t>500</a:t>
          </a:r>
          <a:r>
            <a:rPr lang="zh-CN" altLang="zh-CN" sz="1200">
              <a:solidFill>
                <a:srgbClr val="000000"/>
              </a:solidFill>
              <a:latin typeface="微软雅黑" panose="020B0503020204020204" pitchFamily="34" charset="-122"/>
              <a:ea typeface="微软雅黑" panose="020B0503020204020204" pitchFamily="34" charset="-122"/>
            </a:rPr>
            <a:t>元封顶，</a:t>
          </a:r>
          <a:r>
            <a:rPr lang="en-US" altLang="zh-CN" sz="1200">
              <a:solidFill>
                <a:srgbClr val="000000"/>
              </a:solidFill>
              <a:latin typeface="微软雅黑" panose="020B0503020204020204" pitchFamily="34" charset="-122"/>
              <a:ea typeface="微软雅黑" panose="020B0503020204020204" pitchFamily="34" charset="-122"/>
            </a:rPr>
            <a:t>1TB</a:t>
          </a:r>
          <a:r>
            <a:rPr lang="zh-CN" altLang="zh-CN" sz="1200">
              <a:solidFill>
                <a:srgbClr val="000000"/>
              </a:solidFill>
              <a:latin typeface="微软雅黑" panose="020B0503020204020204" pitchFamily="34" charset="-122"/>
              <a:ea typeface="微软雅黑" panose="020B0503020204020204" pitchFamily="34" charset="-122"/>
            </a:rPr>
            <a:t>及以上档位按照</a:t>
          </a:r>
          <a:r>
            <a:rPr lang="en-US" altLang="zh-CN" sz="1200">
              <a:solidFill>
                <a:srgbClr val="000000"/>
              </a:solidFill>
              <a:latin typeface="微软雅黑" panose="020B0503020204020204" pitchFamily="34" charset="-122"/>
              <a:ea typeface="微软雅黑" panose="020B0503020204020204" pitchFamily="34" charset="-122"/>
            </a:rPr>
            <a:t>3000</a:t>
          </a:r>
          <a:r>
            <a:rPr lang="zh-CN" altLang="zh-CN" sz="1200">
              <a:solidFill>
                <a:srgbClr val="000000"/>
              </a:solidFill>
              <a:latin typeface="微软雅黑" panose="020B0503020204020204" pitchFamily="34" charset="-122"/>
              <a:ea typeface="微软雅黑" panose="020B0503020204020204" pitchFamily="34" charset="-122"/>
            </a:rPr>
            <a:t>元封顶</a:t>
          </a:r>
          <a:r>
            <a:rPr lang="zh-CN" altLang="en-US" sz="1200">
              <a:solidFill>
                <a:srgbClr val="000000"/>
              </a:solidFill>
              <a:latin typeface="微软雅黑" panose="020B0503020204020204" pitchFamily="34" charset="-122"/>
              <a:ea typeface="微软雅黑" panose="020B0503020204020204" pitchFamily="34" charset="-122"/>
            </a:rPr>
            <a:t>。</a:t>
          </a:r>
          <a:r>
            <a:rPr lang="zh-CN" altLang="zh-CN" sz="1200">
              <a:solidFill>
                <a:srgbClr val="000000"/>
              </a:solidFill>
              <a:latin typeface="微软雅黑" panose="020B0503020204020204" pitchFamily="34" charset="-122"/>
              <a:ea typeface="微软雅黑" panose="020B0503020204020204" pitchFamily="34" charset="-122"/>
            </a:rPr>
            <a:t>当用户套外资费到达相应金额时，停止上网功能</a:t>
          </a:r>
          <a:r>
            <a:rPr lang="zh-CN" altLang="en-US" sz="1200">
              <a:solidFill>
                <a:srgbClr val="000000"/>
              </a:solidFill>
              <a:latin typeface="微软雅黑" panose="020B0503020204020204" pitchFamily="34" charset="-122"/>
              <a:ea typeface="微软雅黑" panose="020B0503020204020204" pitchFamily="34" charset="-122"/>
            </a:rPr>
            <a:t>；</a:t>
          </a:r>
          <a:r>
            <a:rPr lang="zh-CN" altLang="zh-CN" sz="1200">
              <a:solidFill>
                <a:srgbClr val="000000"/>
              </a:solidFill>
              <a:latin typeface="微软雅黑" panose="020B0503020204020204" pitchFamily="34" charset="-122"/>
              <a:ea typeface="微软雅黑" panose="020B0503020204020204" pitchFamily="34" charset="-122"/>
            </a:rPr>
            <a:t>客户可申请打开上网功能，上网功能打开后，按照</a:t>
          </a:r>
          <a:r>
            <a:rPr lang="en-US" altLang="zh-CN" sz="1200">
              <a:solidFill>
                <a:srgbClr val="000000"/>
              </a:solidFill>
              <a:latin typeface="微软雅黑" panose="020B0503020204020204" pitchFamily="34" charset="-122"/>
              <a:ea typeface="微软雅黑" panose="020B0503020204020204" pitchFamily="34" charset="-122"/>
            </a:rPr>
            <a:t>3</a:t>
          </a:r>
          <a:r>
            <a:rPr lang="zh-CN" altLang="zh-CN" sz="1200">
              <a:solidFill>
                <a:srgbClr val="000000"/>
              </a:solidFill>
              <a:latin typeface="微软雅黑" panose="020B0503020204020204" pitchFamily="34" charset="-122"/>
              <a:ea typeface="微软雅黑" panose="020B0503020204020204" pitchFamily="34" charset="-122"/>
            </a:rPr>
            <a:t>元</a:t>
          </a:r>
          <a:r>
            <a:rPr lang="en-US" altLang="zh-CN" sz="1200">
              <a:solidFill>
                <a:srgbClr val="000000"/>
              </a:solidFill>
              <a:latin typeface="微软雅黑" panose="020B0503020204020204" pitchFamily="34" charset="-122"/>
              <a:ea typeface="微软雅黑" panose="020B0503020204020204" pitchFamily="34" charset="-122"/>
            </a:rPr>
            <a:t>/GB</a:t>
          </a:r>
          <a:r>
            <a:rPr lang="zh-CN" altLang="zh-CN" sz="1200">
              <a:solidFill>
                <a:srgbClr val="000000"/>
              </a:solidFill>
              <a:latin typeface="微软雅黑" panose="020B0503020204020204" pitchFamily="34" charset="-122"/>
              <a:ea typeface="微软雅黑" panose="020B0503020204020204" pitchFamily="34" charset="-122"/>
            </a:rPr>
            <a:t>标准收费，当月流量费用不再封顶，次月恢复</a:t>
          </a:r>
          <a:r>
            <a:rPr lang="zh-CN" altLang="en-US" sz="1200">
              <a:solidFill>
                <a:srgbClr val="000000"/>
              </a:solidFill>
              <a:latin typeface="微软雅黑" panose="020B0503020204020204" pitchFamily="34" charset="-122"/>
              <a:ea typeface="微软雅黑" panose="020B0503020204020204" pitchFamily="34" charset="-122"/>
            </a:rPr>
            <a:t>。</a:t>
          </a:r>
          <a:endParaRPr lang="en-US" altLang="zh-CN" sz="1200">
            <a:solidFill>
              <a:srgbClr val="000000"/>
            </a:solidFill>
            <a:latin typeface="微软雅黑" panose="020B0503020204020204" pitchFamily="34" charset="-122"/>
            <a:ea typeface="微软雅黑" panose="020B0503020204020204" pitchFamily="34" charset="-122"/>
          </a:endParaRPr>
        </a:p>
        <a:p>
          <a:pPr marL="467995" indent="-457200">
            <a:lnSpc>
              <a:spcPct val="120000"/>
            </a:lnSpc>
            <a:buFont typeface="Wingdings" panose="05000000000000000000" pitchFamily="2" charset="2"/>
            <a:buChar char="p"/>
          </a:pPr>
          <a:r>
            <a:rPr lang="zh-CN" altLang="en-US" sz="1200" b="1">
              <a:solidFill>
                <a:srgbClr val="000000"/>
              </a:solidFill>
              <a:latin typeface="微软雅黑" panose="020B0503020204020204" pitchFamily="34" charset="-122"/>
              <a:ea typeface="微软雅黑" panose="020B0503020204020204" pitchFamily="34" charset="-122"/>
            </a:rPr>
            <a:t>长周期包有效期：</a:t>
          </a:r>
          <a:r>
            <a:rPr lang="zh-CN" altLang="en-US" sz="1200">
              <a:solidFill>
                <a:srgbClr val="000000"/>
              </a:solidFill>
              <a:latin typeface="微软雅黑" panose="020B0503020204020204" pitchFamily="34" charset="-122"/>
              <a:ea typeface="微软雅黑" panose="020B0503020204020204" pitchFamily="34" charset="-122"/>
            </a:rPr>
            <a:t>长周期包免费资源有效时间从生效之日起按天计算，季包为</a:t>
          </a:r>
          <a:r>
            <a:rPr lang="en-US" altLang="zh-CN" sz="1200">
              <a:solidFill>
                <a:srgbClr val="000000"/>
              </a:solidFill>
              <a:latin typeface="微软雅黑" panose="020B0503020204020204" pitchFamily="34" charset="-122"/>
              <a:ea typeface="微软雅黑" panose="020B0503020204020204" pitchFamily="34" charset="-122"/>
            </a:rPr>
            <a:t>90</a:t>
          </a:r>
          <a:r>
            <a:rPr lang="zh-CN" altLang="en-US" sz="1200">
              <a:solidFill>
                <a:srgbClr val="000000"/>
              </a:solidFill>
              <a:latin typeface="微软雅黑" panose="020B0503020204020204" pitchFamily="34" charset="-122"/>
              <a:ea typeface="微软雅黑" panose="020B0503020204020204" pitchFamily="34" charset="-122"/>
            </a:rPr>
            <a:t>天、半年包为</a:t>
          </a:r>
          <a:r>
            <a:rPr lang="en-US" altLang="zh-CN" sz="1200">
              <a:solidFill>
                <a:srgbClr val="000000"/>
              </a:solidFill>
              <a:latin typeface="微软雅黑" panose="020B0503020204020204" pitchFamily="34" charset="-122"/>
              <a:ea typeface="微软雅黑" panose="020B0503020204020204" pitchFamily="34" charset="-122"/>
            </a:rPr>
            <a:t>180</a:t>
          </a:r>
          <a:r>
            <a:rPr lang="zh-CN" altLang="en-US" sz="1200">
              <a:solidFill>
                <a:srgbClr val="000000"/>
              </a:solidFill>
              <a:latin typeface="微软雅黑" panose="020B0503020204020204" pitchFamily="34" charset="-122"/>
              <a:ea typeface="微软雅黑" panose="020B0503020204020204" pitchFamily="34" charset="-122"/>
            </a:rPr>
            <a:t>天、年包为</a:t>
          </a:r>
          <a:r>
            <a:rPr lang="en-US" altLang="zh-CN" sz="1200">
              <a:solidFill>
                <a:srgbClr val="000000"/>
              </a:solidFill>
              <a:latin typeface="微软雅黑" panose="020B0503020204020204" pitchFamily="34" charset="-122"/>
              <a:ea typeface="微软雅黑" panose="020B0503020204020204" pitchFamily="34" charset="-122"/>
            </a:rPr>
            <a:t>360</a:t>
          </a:r>
          <a:r>
            <a:rPr lang="zh-CN" altLang="en-US" sz="1200">
              <a:solidFill>
                <a:srgbClr val="000000"/>
              </a:solidFill>
              <a:latin typeface="微软雅黑" panose="020B0503020204020204" pitchFamily="34" charset="-122"/>
              <a:ea typeface="微软雅黑" panose="020B0503020204020204" pitchFamily="34" charset="-122"/>
            </a:rPr>
            <a:t>天。</a:t>
          </a:r>
          <a:endParaRPr lang="en-US" altLang="zh-CN" sz="1200">
            <a:solidFill>
              <a:srgbClr val="000000"/>
            </a:solidFill>
            <a:latin typeface="微软雅黑" panose="020B0503020204020204" pitchFamily="34" charset="-122"/>
            <a:ea typeface="微软雅黑" panose="020B0503020204020204" pitchFamily="34" charset="-122"/>
          </a:endParaRPr>
        </a:p>
        <a:p>
          <a:pPr marL="467995" indent="-457200">
            <a:lnSpc>
              <a:spcPct val="120000"/>
            </a:lnSpc>
            <a:buFont typeface="Wingdings" panose="05000000000000000000" pitchFamily="2" charset="2"/>
            <a:buChar char="p"/>
          </a:pPr>
          <a:r>
            <a:rPr lang="zh-CN" altLang="en-US" sz="1200" b="1">
              <a:solidFill>
                <a:srgbClr val="000000"/>
              </a:solidFill>
              <a:latin typeface="微软雅黑" panose="020B0503020204020204" pitchFamily="34" charset="-122"/>
              <a:ea typeface="微软雅黑" panose="020B0503020204020204" pitchFamily="34" charset="-122"/>
            </a:rPr>
            <a:t>测试期套餐超套：</a:t>
          </a:r>
          <a:r>
            <a:rPr lang="zh-CN" altLang="en-US" sz="1200">
              <a:solidFill>
                <a:srgbClr val="000000"/>
              </a:solidFill>
              <a:latin typeface="微软雅黑" panose="020B0503020204020204" pitchFamily="34" charset="-122"/>
              <a:ea typeface="微软雅黑" panose="020B0503020204020204" pitchFamily="34" charset="-122"/>
            </a:rPr>
            <a:t>测试期套餐超套后、用户没有有效套餐时按照标准资费批价</a:t>
          </a:r>
          <a:r>
            <a:rPr lang="en-US" altLang="zh-CN" sz="1200">
              <a:solidFill>
                <a:srgbClr val="000000"/>
              </a:solidFill>
              <a:latin typeface="微软雅黑" panose="020B0503020204020204" pitchFamily="34" charset="-122"/>
              <a:ea typeface="微软雅黑" panose="020B0503020204020204" pitchFamily="34" charset="-122"/>
            </a:rPr>
            <a:t>(0.29</a:t>
          </a:r>
          <a:r>
            <a:rPr lang="zh-CN" altLang="en-US" sz="1200">
              <a:solidFill>
                <a:srgbClr val="000000"/>
              </a:solidFill>
              <a:latin typeface="微软雅黑" panose="020B0503020204020204" pitchFamily="34" charset="-122"/>
              <a:ea typeface="微软雅黑" panose="020B0503020204020204" pitchFamily="34" charset="-122"/>
            </a:rPr>
            <a:t>元</a:t>
          </a:r>
          <a:r>
            <a:rPr lang="en-US" altLang="zh-CN" sz="1200">
              <a:solidFill>
                <a:srgbClr val="000000"/>
              </a:solidFill>
              <a:latin typeface="微软雅黑" panose="020B0503020204020204" pitchFamily="34" charset="-122"/>
              <a:ea typeface="微软雅黑" panose="020B0503020204020204" pitchFamily="34" charset="-122"/>
            </a:rPr>
            <a:t>/M)</a:t>
          </a:r>
          <a:r>
            <a:rPr lang="zh-CN" altLang="en-US" sz="1200">
              <a:solidFill>
                <a:srgbClr val="000000"/>
              </a:solidFill>
              <a:latin typeface="微软雅黑" panose="020B0503020204020204" pitchFamily="34" charset="-122"/>
              <a:ea typeface="微软雅黑" panose="020B0503020204020204" pitchFamily="34" charset="-122"/>
            </a:rPr>
            <a:t>，双封顶按“</a:t>
          </a:r>
          <a:r>
            <a:rPr lang="en-US" altLang="zh-CN" sz="1200">
              <a:solidFill>
                <a:srgbClr val="000000"/>
              </a:solidFill>
              <a:latin typeface="微软雅黑" panose="020B0503020204020204" pitchFamily="34" charset="-122"/>
              <a:ea typeface="微软雅黑" panose="020B0503020204020204" pitchFamily="34" charset="-122"/>
            </a:rPr>
            <a:t>50</a:t>
          </a:r>
          <a:r>
            <a:rPr lang="zh-CN" altLang="en-US" sz="1200">
              <a:solidFill>
                <a:srgbClr val="000000"/>
              </a:solidFill>
              <a:latin typeface="微软雅黑" panose="020B0503020204020204" pitchFamily="34" charset="-122"/>
              <a:ea typeface="微软雅黑" panose="020B0503020204020204" pitchFamily="34" charset="-122"/>
            </a:rPr>
            <a:t>元</a:t>
          </a:r>
          <a:r>
            <a:rPr lang="en-US" altLang="zh-CN" sz="1200">
              <a:solidFill>
                <a:srgbClr val="000000"/>
              </a:solidFill>
              <a:latin typeface="微软雅黑" panose="020B0503020204020204" pitchFamily="34" charset="-122"/>
              <a:ea typeface="微软雅黑" panose="020B0503020204020204" pitchFamily="34" charset="-122"/>
            </a:rPr>
            <a:t>200M”</a:t>
          </a:r>
          <a:r>
            <a:rPr lang="zh-CN" altLang="en-US" sz="1200">
              <a:solidFill>
                <a:srgbClr val="000000"/>
              </a:solidFill>
              <a:latin typeface="微软雅黑" panose="020B0503020204020204" pitchFamily="34" charset="-122"/>
              <a:ea typeface="微软雅黑" panose="020B0503020204020204" pitchFamily="34" charset="-122"/>
            </a:rPr>
            <a:t>执行。</a:t>
          </a:r>
          <a:r>
            <a:rPr lang="zh-CN" altLang="zh-CN" sz="1200" kern="1200">
              <a:solidFill>
                <a:srgbClr val="000000"/>
              </a:solidFill>
              <a:latin typeface="微软雅黑" panose="020B0503020204020204" pitchFamily="34" charset="-122"/>
              <a:ea typeface="微软雅黑" panose="020B0503020204020204" pitchFamily="34" charset="-122"/>
              <a:cs typeface="+mn-cs"/>
            </a:rPr>
            <a:t>同一个集团客户限制只能订购</a:t>
          </a:r>
          <a:r>
            <a:rPr lang="en-US" altLang="zh-CN" sz="1200" kern="1200">
              <a:solidFill>
                <a:srgbClr val="000000"/>
              </a:solidFill>
              <a:latin typeface="微软雅黑" panose="020B0503020204020204" pitchFamily="34" charset="-122"/>
              <a:ea typeface="微软雅黑" panose="020B0503020204020204" pitchFamily="34" charset="-122"/>
              <a:cs typeface="+mn-cs"/>
            </a:rPr>
            <a:t>3</a:t>
          </a:r>
          <a:r>
            <a:rPr lang="zh-CN" altLang="zh-CN" sz="1200" kern="1200">
              <a:solidFill>
                <a:srgbClr val="000000"/>
              </a:solidFill>
              <a:latin typeface="微软雅黑" panose="020B0503020204020204" pitchFamily="34" charset="-122"/>
              <a:ea typeface="微软雅黑" panose="020B0503020204020204" pitchFamily="34" charset="-122"/>
              <a:cs typeface="+mn-cs"/>
            </a:rPr>
            <a:t>档</a:t>
          </a:r>
          <a:r>
            <a:rPr lang="zh-CN" altLang="en-US" sz="1200" kern="1200">
              <a:solidFill>
                <a:srgbClr val="000000"/>
              </a:solidFill>
              <a:latin typeface="微软雅黑" panose="020B0503020204020204" pitchFamily="34" charset="-122"/>
              <a:ea typeface="微软雅黑" panose="020B0503020204020204" pitchFamily="34" charset="-122"/>
              <a:cs typeface="+mn-cs"/>
            </a:rPr>
            <a:t>大流量</a:t>
          </a:r>
          <a:r>
            <a:rPr lang="zh-CN" altLang="zh-CN" sz="1200" kern="1200">
              <a:solidFill>
                <a:srgbClr val="000000"/>
              </a:solidFill>
              <a:latin typeface="微软雅黑" panose="020B0503020204020204" pitchFamily="34" charset="-122"/>
              <a:ea typeface="微软雅黑" panose="020B0503020204020204" pitchFamily="34" charset="-122"/>
              <a:cs typeface="+mn-cs"/>
            </a:rPr>
            <a:t>测试期套餐</a:t>
          </a:r>
          <a:r>
            <a:rPr lang="zh-CN" altLang="en-US" sz="1200" kern="1200">
              <a:solidFill>
                <a:srgbClr val="000000"/>
              </a:solidFill>
              <a:latin typeface="微软雅黑" panose="020B0503020204020204" pitchFamily="34" charset="-122"/>
              <a:ea typeface="微软雅黑" panose="020B0503020204020204" pitchFamily="34" charset="-122"/>
              <a:cs typeface="+mn-cs"/>
            </a:rPr>
            <a:t>（流量大于等于</a:t>
          </a:r>
          <a:r>
            <a:rPr lang="en-US" altLang="zh-CN" sz="1200" kern="1200">
              <a:solidFill>
                <a:srgbClr val="000000"/>
              </a:solidFill>
              <a:latin typeface="微软雅黑" panose="020B0503020204020204" pitchFamily="34" charset="-122"/>
              <a:ea typeface="微软雅黑" panose="020B0503020204020204" pitchFamily="34" charset="-122"/>
              <a:cs typeface="+mn-cs"/>
            </a:rPr>
            <a:t>1T</a:t>
          </a:r>
          <a:r>
            <a:rPr lang="zh-CN" altLang="en-US" sz="1200" kern="1200">
              <a:solidFill>
                <a:srgbClr val="000000"/>
              </a:solidFill>
              <a:latin typeface="微软雅黑" panose="020B0503020204020204" pitchFamily="34" charset="-122"/>
              <a:ea typeface="微软雅黑" panose="020B0503020204020204" pitchFamily="34" charset="-122"/>
              <a:cs typeface="+mn-cs"/>
            </a:rPr>
            <a:t>）</a:t>
          </a:r>
          <a:r>
            <a:rPr lang="zh-CN" altLang="zh-CN" sz="1200" kern="1200">
              <a:solidFill>
                <a:srgbClr val="000000"/>
              </a:solidFill>
              <a:latin typeface="微软雅黑" panose="020B0503020204020204" pitchFamily="34" charset="-122"/>
              <a:ea typeface="微软雅黑" panose="020B0503020204020204" pitchFamily="34" charset="-122"/>
              <a:cs typeface="+mn-cs"/>
            </a:rPr>
            <a:t>其中一档</a:t>
          </a:r>
          <a:r>
            <a:rPr lang="zh-CN" altLang="en-US" sz="1200" kern="1200">
              <a:solidFill>
                <a:srgbClr val="000000"/>
              </a:solidFill>
              <a:latin typeface="微软雅黑" panose="020B0503020204020204" pitchFamily="34" charset="-122"/>
              <a:ea typeface="微软雅黑" panose="020B0503020204020204" pitchFamily="34" charset="-122"/>
              <a:cs typeface="+mn-cs"/>
            </a:rPr>
            <a:t>。</a:t>
          </a:r>
          <a:endParaRPr lang="en-US" altLang="zh-CN" sz="1200" kern="1200">
            <a:solidFill>
              <a:srgbClr val="000000"/>
            </a:solidFill>
            <a:latin typeface="微软雅黑" panose="020B0503020204020204" pitchFamily="34" charset="-122"/>
            <a:ea typeface="微软雅黑" panose="020B0503020204020204" pitchFamily="34" charset="-122"/>
            <a:cs typeface="+mn-cs"/>
          </a:endParaRPr>
        </a:p>
        <a:p>
          <a:pPr marL="467995" indent="-457200">
            <a:lnSpc>
              <a:spcPct val="120000"/>
            </a:lnSpc>
            <a:buFont typeface="Wingdings" panose="05000000000000000000" pitchFamily="2" charset="2"/>
            <a:buChar char="p"/>
          </a:pPr>
          <a:r>
            <a:rPr lang="zh-CN" altLang="en-US" sz="1200" b="1">
              <a:solidFill>
                <a:srgbClr val="000000"/>
              </a:solidFill>
              <a:latin typeface="微软雅黑" panose="020B0503020204020204" pitchFamily="34" charset="-122"/>
              <a:ea typeface="微软雅黑" panose="020B0503020204020204" pitchFamily="34" charset="-122"/>
            </a:rPr>
            <a:t>“本地环回” 定义：</a:t>
          </a:r>
          <a:r>
            <a:rPr lang="zh-CN" altLang="en-US" sz="1200">
              <a:solidFill>
                <a:srgbClr val="000000"/>
              </a:solidFill>
              <a:latin typeface="微软雅黑" panose="020B0503020204020204" pitchFamily="34" charset="-122"/>
              <a:ea typeface="微软雅黑" panose="020B0503020204020204" pitchFamily="34" charset="-122"/>
            </a:rPr>
            <a:t>本地环回流量指终端在本地环境下访问同一环境下的本地服务器产生的流量。</a:t>
          </a:r>
        </a:p>
        <a:p>
          <a:pPr marL="467995" indent="-457200">
            <a:lnSpc>
              <a:spcPct val="120000"/>
            </a:lnSpc>
            <a:buFont typeface="Wingdings" panose="05000000000000000000" pitchFamily="2" charset="2"/>
            <a:buChar char="p"/>
          </a:pPr>
          <a:r>
            <a:rPr lang="en-US" altLang="zh-CN" sz="1200" b="1">
              <a:solidFill>
                <a:srgbClr val="000000"/>
              </a:solidFill>
              <a:latin typeface="微软雅黑" panose="020B0503020204020204" pitchFamily="34" charset="-122"/>
              <a:ea typeface="微软雅黑" panose="020B0503020204020204" pitchFamily="34" charset="-122"/>
            </a:rPr>
            <a:t>5G</a:t>
          </a:r>
          <a:r>
            <a:rPr lang="zh-CN" altLang="en-US" sz="1200" b="1">
              <a:solidFill>
                <a:srgbClr val="000000"/>
              </a:solidFill>
              <a:latin typeface="微软雅黑" panose="020B0503020204020204" pitchFamily="34" charset="-122"/>
              <a:ea typeface="微软雅黑" panose="020B0503020204020204" pitchFamily="34" charset="-122"/>
            </a:rPr>
            <a:t>网络权益：</a:t>
          </a:r>
          <a:r>
            <a:rPr lang="zh-CN" altLang="en-US" sz="1200" b="0">
              <a:solidFill>
                <a:srgbClr val="000000"/>
              </a:solidFill>
              <a:latin typeface="微软雅黑" panose="020B0503020204020204" pitchFamily="34" charset="-122"/>
              <a:ea typeface="微软雅黑" panose="020B0503020204020204" pitchFamily="34" charset="-122"/>
            </a:rPr>
            <a:t>提供</a:t>
          </a:r>
          <a:r>
            <a:rPr lang="en-US" altLang="zh-CN" sz="1200" b="0">
              <a:solidFill>
                <a:srgbClr val="000000"/>
              </a:solidFill>
              <a:latin typeface="微软雅黑" panose="020B0503020204020204" pitchFamily="34" charset="-122"/>
              <a:ea typeface="微软雅黑" panose="020B0503020204020204" pitchFamily="34" charset="-122"/>
            </a:rPr>
            <a:t>5G</a:t>
          </a:r>
          <a:r>
            <a:rPr lang="zh-CN" altLang="en-US" sz="1200" b="0">
              <a:solidFill>
                <a:srgbClr val="000000"/>
              </a:solidFill>
              <a:latin typeface="微软雅黑" panose="020B0503020204020204" pitchFamily="34" charset="-122"/>
              <a:ea typeface="微软雅黑" panose="020B0503020204020204" pitchFamily="34" charset="-122"/>
            </a:rPr>
            <a:t>网络的高速服务。在</a:t>
          </a:r>
          <a:r>
            <a:rPr lang="en-US" altLang="zh-CN" sz="1200" b="0">
              <a:solidFill>
                <a:srgbClr val="000000"/>
              </a:solidFill>
              <a:latin typeface="微软雅黑" panose="020B0503020204020204" pitchFamily="34" charset="-122"/>
              <a:ea typeface="微软雅黑" panose="020B0503020204020204" pitchFamily="34" charset="-122"/>
            </a:rPr>
            <a:t>5G</a:t>
          </a:r>
          <a:r>
            <a:rPr lang="zh-CN" altLang="en-US" sz="1200" b="0">
              <a:solidFill>
                <a:srgbClr val="000000"/>
              </a:solidFill>
              <a:latin typeface="微软雅黑" panose="020B0503020204020204" pitchFamily="34" charset="-122"/>
              <a:ea typeface="微软雅黑" panose="020B0503020204020204" pitchFamily="34" charset="-122"/>
            </a:rPr>
            <a:t>网络覆盖良好且没有网络拥塞情况下，</a:t>
          </a:r>
          <a:r>
            <a:rPr lang="en-US" altLang="zh-CN" sz="1200" b="0">
              <a:solidFill>
                <a:srgbClr val="000000"/>
              </a:solidFill>
              <a:latin typeface="微软雅黑" panose="020B0503020204020204" pitchFamily="34" charset="-122"/>
              <a:ea typeface="微软雅黑" panose="020B0503020204020204" pitchFamily="34" charset="-122"/>
            </a:rPr>
            <a:t>5G</a:t>
          </a:r>
          <a:r>
            <a:rPr lang="zh-CN" altLang="en-US" sz="1200" b="0">
              <a:solidFill>
                <a:srgbClr val="000000"/>
              </a:solidFill>
              <a:latin typeface="微软雅黑" panose="020B0503020204020204" pitchFamily="34" charset="-122"/>
              <a:ea typeface="微软雅黑" panose="020B0503020204020204" pitchFamily="34" charset="-122"/>
            </a:rPr>
            <a:t>极速服务上下行峰值速率优于</a:t>
          </a:r>
          <a:r>
            <a:rPr lang="en-US" altLang="zh-CN" sz="1200" b="0">
              <a:solidFill>
                <a:srgbClr val="000000"/>
              </a:solidFill>
              <a:latin typeface="微软雅黑" panose="020B0503020204020204" pitchFamily="34" charset="-122"/>
              <a:ea typeface="微软雅黑" panose="020B0503020204020204" pitchFamily="34" charset="-122"/>
            </a:rPr>
            <a:t>5G</a:t>
          </a:r>
          <a:r>
            <a:rPr lang="zh-CN" altLang="en-US" sz="1200" b="0">
              <a:solidFill>
                <a:srgbClr val="000000"/>
              </a:solidFill>
              <a:latin typeface="微软雅黑" panose="020B0503020204020204" pitchFamily="34" charset="-122"/>
              <a:ea typeface="微软雅黑" panose="020B0503020204020204" pitchFamily="34" charset="-122"/>
            </a:rPr>
            <a:t>畅联服务；提供更好的接入服务保障，在网络拥塞情况下，</a:t>
          </a:r>
          <a:r>
            <a:rPr lang="en-US" altLang="zh-CN" sz="1200" b="0">
              <a:solidFill>
                <a:srgbClr val="000000"/>
              </a:solidFill>
              <a:latin typeface="微软雅黑" panose="020B0503020204020204" pitchFamily="34" charset="-122"/>
              <a:ea typeface="微软雅黑" panose="020B0503020204020204" pitchFamily="34" charset="-122"/>
            </a:rPr>
            <a:t>5G</a:t>
          </a:r>
          <a:r>
            <a:rPr lang="zh-CN" altLang="en-US" sz="1200" b="0">
              <a:solidFill>
                <a:srgbClr val="000000"/>
              </a:solidFill>
              <a:latin typeface="微软雅黑" panose="020B0503020204020204" pitchFamily="34" charset="-122"/>
              <a:ea typeface="微软雅黑" panose="020B0503020204020204" pitchFamily="34" charset="-122"/>
            </a:rPr>
            <a:t>极速服务接入服务保障能力优于</a:t>
          </a:r>
          <a:r>
            <a:rPr lang="en-US" altLang="zh-CN" sz="1200" b="0">
              <a:solidFill>
                <a:srgbClr val="000000"/>
              </a:solidFill>
              <a:latin typeface="微软雅黑" panose="020B0503020204020204" pitchFamily="34" charset="-122"/>
              <a:ea typeface="微软雅黑" panose="020B0503020204020204" pitchFamily="34" charset="-122"/>
            </a:rPr>
            <a:t>5G</a:t>
          </a:r>
          <a:r>
            <a:rPr lang="zh-CN" altLang="en-US" sz="1200" b="0">
              <a:solidFill>
                <a:srgbClr val="000000"/>
              </a:solidFill>
              <a:latin typeface="微软雅黑" panose="020B0503020204020204" pitchFamily="34" charset="-122"/>
              <a:ea typeface="微软雅黑" panose="020B0503020204020204" pitchFamily="34" charset="-122"/>
            </a:rPr>
            <a:t>畅联服务。</a:t>
          </a:r>
          <a:endParaRPr lang="en-US" altLang="zh-CN" sz="1200" b="1">
            <a:solidFill>
              <a:srgbClr val="000000"/>
            </a:solidFill>
            <a:latin typeface="微软雅黑" panose="020B0503020204020204" pitchFamily="34" charset="-122"/>
            <a:ea typeface="微软雅黑" panose="020B0503020204020204" pitchFamily="34" charset="-122"/>
          </a:endParaRPr>
        </a:p>
        <a:p>
          <a:pPr marL="467995" indent="-457200">
            <a:lnSpc>
              <a:spcPct val="120000"/>
            </a:lnSpc>
            <a:buFont typeface="Wingdings" panose="05000000000000000000" pitchFamily="2" charset="2"/>
            <a:buChar char="p"/>
          </a:pPr>
          <a:r>
            <a:rPr lang="zh-CN" altLang="en-US" sz="1200" b="1">
              <a:solidFill>
                <a:srgbClr val="000000"/>
              </a:solidFill>
              <a:latin typeface="微软雅黑" panose="020B0503020204020204" pitchFamily="34" charset="-122"/>
              <a:ea typeface="微软雅黑" panose="020B0503020204020204" pitchFamily="34" charset="-122"/>
            </a:rPr>
            <a:t>折扣管理：</a:t>
          </a:r>
          <a:r>
            <a:rPr lang="zh-CN" altLang="en-US" sz="1200" b="0">
              <a:solidFill>
                <a:srgbClr val="000000"/>
              </a:solidFill>
              <a:latin typeface="微软雅黑" panose="020B0503020204020204" pitchFamily="34" charset="-122"/>
              <a:ea typeface="微软雅黑" panose="020B0503020204020204" pitchFamily="34" charset="-122"/>
            </a:rPr>
            <a:t>套餐折扣在底价之上，由各公司自行审批；如需突破折扣底线的，各公司须经省公司分管领导专题会审批通过后再上报总部审批。</a:t>
          </a:r>
        </a:p>
        <a:p>
          <a:pPr marL="467995" indent="-457200">
            <a:lnSpc>
              <a:spcPct val="120000"/>
            </a:lnSpc>
            <a:buFont typeface="Wingdings" panose="05000000000000000000" pitchFamily="2" charset="2"/>
            <a:buChar char="p"/>
          </a:pPr>
          <a:r>
            <a:rPr lang="zh-CN" altLang="en-US" sz="1200" b="1">
              <a:solidFill>
                <a:srgbClr val="000000"/>
              </a:solidFill>
              <a:latin typeface="微软雅黑" panose="020B0503020204020204" pitchFamily="34" charset="-122"/>
              <a:ea typeface="微软雅黑" panose="020B0503020204020204" pitchFamily="34" charset="-122"/>
            </a:rPr>
            <a:t>结算规则</a:t>
          </a:r>
          <a:r>
            <a:rPr lang="zh-CN" altLang="zh-CN" sz="1200" b="1">
              <a:solidFill>
                <a:srgbClr val="000000"/>
              </a:solidFill>
              <a:latin typeface="微软雅黑" panose="020B0503020204020204" pitchFamily="34" charset="-122"/>
              <a:ea typeface="微软雅黑" panose="020B0503020204020204" pitchFamily="34" charset="-122"/>
            </a:rPr>
            <a:t>：</a:t>
          </a:r>
          <a:r>
            <a:rPr lang="zh-CN" altLang="zh-CN" sz="1200">
              <a:solidFill>
                <a:srgbClr val="000000"/>
              </a:solidFill>
              <a:latin typeface="微软雅黑" panose="020B0503020204020204" pitchFamily="34" charset="-122"/>
              <a:ea typeface="微软雅黑" panose="020B0503020204020204" pitchFamily="34" charset="-122"/>
            </a:rPr>
            <a:t>销售省公司按流量费目录价的</a:t>
          </a:r>
          <a:r>
            <a:rPr lang="en-US" altLang="zh-CN" sz="1200">
              <a:solidFill>
                <a:srgbClr val="000000"/>
              </a:solidFill>
              <a:latin typeface="微软雅黑" panose="020B0503020204020204" pitchFamily="34" charset="-122"/>
              <a:ea typeface="微软雅黑" panose="020B0503020204020204" pitchFamily="34" charset="-122"/>
            </a:rPr>
            <a:t>20%</a:t>
          </a:r>
          <a:r>
            <a:rPr lang="zh-CN" altLang="zh-CN" sz="1200">
              <a:solidFill>
                <a:srgbClr val="000000"/>
              </a:solidFill>
              <a:latin typeface="微软雅黑" panose="020B0503020204020204" pitchFamily="34" charset="-122"/>
              <a:ea typeface="微软雅黑" panose="020B0503020204020204" pitchFamily="34" charset="-122"/>
            </a:rPr>
            <a:t>向使用地公司进行结算</a:t>
          </a:r>
          <a:r>
            <a:rPr lang="zh-CN" altLang="en-US" sz="1200">
              <a:solidFill>
                <a:srgbClr val="000000"/>
              </a:solidFill>
              <a:latin typeface="微软雅黑" panose="020B0503020204020204" pitchFamily="34" charset="-122"/>
              <a:ea typeface="微软雅黑" panose="020B0503020204020204" pitchFamily="34" charset="-122"/>
            </a:rPr>
            <a:t>，流量池和流量共享的</a:t>
          </a:r>
          <a:r>
            <a:rPr lang="zh-CN" altLang="en-US" sz="1200" b="1">
              <a:solidFill>
                <a:srgbClr val="000000"/>
              </a:solidFill>
              <a:latin typeface="微软雅黑" panose="020B0503020204020204" pitchFamily="34" charset="-122"/>
              <a:ea typeface="微软雅黑" panose="020B0503020204020204" pitchFamily="34" charset="-122"/>
            </a:rPr>
            <a:t>月功能费不结算。</a:t>
          </a:r>
          <a:endParaRPr lang="en-US" altLang="zh-CN" sz="1200" b="1">
            <a:solidFill>
              <a:srgbClr val="000000"/>
            </a:solidFill>
            <a:latin typeface="微软雅黑" panose="020B0503020204020204" pitchFamily="34" charset="-122"/>
            <a:ea typeface="微软雅黑" panose="020B0503020204020204" pitchFamily="34" charset="-122"/>
          </a:endParaRPr>
        </a:p>
      </xdr:txBody>
    </xdr:sp>
    <xdr:clientData/>
  </xdr:twoCellAnchor>
  <xdr:oneCellAnchor>
    <xdr:from>
      <xdr:col>2</xdr:col>
      <xdr:colOff>579120</xdr:colOff>
      <xdr:row>36</xdr:row>
      <xdr:rowOff>146685</xdr:rowOff>
    </xdr:from>
    <xdr:ext cx="9211789" cy="1041248"/>
    <xdr:sp macro="" textlink="">
      <xdr:nvSpPr>
        <xdr:cNvPr id="17" name="矩形 16"/>
        <xdr:cNvSpPr/>
      </xdr:nvSpPr>
      <xdr:spPr>
        <a:xfrm rot="19780304">
          <a:off x="2111375" y="11694160"/>
          <a:ext cx="9211310" cy="1040765"/>
        </a:xfrm>
        <a:prstGeom prst="rect">
          <a:avLst/>
        </a:prstGeom>
        <a:noFill/>
        <a:effectLst/>
      </xdr:spPr>
      <xdr:txBody>
        <a:bodyPr wrap="square" lIns="91440" tIns="45720" rIns="91440" bIns="45720">
          <a:noAutofit/>
        </a:bodyPr>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a:r>
            <a:rPr lang="zh-CN" altLang="en-US" sz="3600" b="1" cap="none" spc="0">
              <a:ln w="12700">
                <a:noFill/>
                <a:prstDash val="solid"/>
              </a:ln>
              <a:solidFill>
                <a:schemeClr val="tx2">
                  <a:alpha val="33000"/>
                </a:schemeClr>
              </a:solidFill>
              <a:effectLst/>
            </a:rPr>
            <a:t>仅供中国移动内部使用</a:t>
          </a: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0</xdr:col>
      <xdr:colOff>754242</xdr:colOff>
      <xdr:row>42</xdr:row>
      <xdr:rowOff>0</xdr:rowOff>
    </xdr:from>
    <xdr:ext cx="7515085" cy="1031240"/>
    <xdr:sp macro="" textlink="">
      <xdr:nvSpPr>
        <xdr:cNvPr id="5" name="矩形 4"/>
        <xdr:cNvSpPr/>
      </xdr:nvSpPr>
      <xdr:spPr>
        <a:xfrm rot="19780304">
          <a:off x="753745" y="10999470"/>
          <a:ext cx="7515225" cy="1031240"/>
        </a:xfrm>
        <a:prstGeom prst="rect">
          <a:avLst/>
        </a:prstGeom>
        <a:noFill/>
        <a:effectLst/>
      </xdr:spPr>
      <xdr:txBody>
        <a:bodyPr wrap="square" lIns="91440" tIns="45720" rIns="91440" bIns="45720" anchor="ctr">
          <a:noAutofit/>
        </a:bodyPr>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a:r>
            <a:rPr lang="zh-CN" altLang="en-US" sz="3600" b="1" cap="none" spc="0">
              <a:ln w="12700">
                <a:noFill/>
                <a:prstDash val="solid"/>
              </a:ln>
              <a:solidFill>
                <a:schemeClr val="tx2">
                  <a:alpha val="33000"/>
                </a:schemeClr>
              </a:solidFill>
              <a:effectLst/>
            </a:rPr>
            <a:t>仅供中国移动内部使用</a:t>
          </a:r>
        </a:p>
      </xdr:txBody>
    </xdr:sp>
    <xdr:clientData/>
  </xdr:oneCellAnchor>
  <xdr:oneCellAnchor>
    <xdr:from>
      <xdr:col>0</xdr:col>
      <xdr:colOff>0</xdr:colOff>
      <xdr:row>11</xdr:row>
      <xdr:rowOff>131002</xdr:rowOff>
    </xdr:from>
    <xdr:ext cx="9211310" cy="974090"/>
    <xdr:sp macro="" textlink="">
      <xdr:nvSpPr>
        <xdr:cNvPr id="2" name="矩形 1"/>
        <xdr:cNvSpPr/>
      </xdr:nvSpPr>
      <xdr:spPr>
        <a:xfrm rot="19780304">
          <a:off x="0" y="2813050"/>
          <a:ext cx="9211310" cy="974090"/>
        </a:xfrm>
        <a:prstGeom prst="rect">
          <a:avLst/>
        </a:prstGeom>
        <a:noFill/>
        <a:effectLst/>
      </xdr:spPr>
      <xdr:txBody>
        <a:bodyPr wrap="square" lIns="91440" tIns="45720" rIns="91440" bIns="45720">
          <a:noAutofit/>
        </a:bodyPr>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a:r>
            <a:rPr lang="zh-CN" altLang="en-US" sz="3600" b="1" cap="none" spc="0">
              <a:ln w="12700">
                <a:noFill/>
                <a:prstDash val="solid"/>
              </a:ln>
              <a:solidFill>
                <a:schemeClr val="tx2">
                  <a:alpha val="33000"/>
                </a:schemeClr>
              </a:solidFill>
              <a:effectLst/>
            </a:rPr>
            <a:t>仅供中国移动内部使用</a:t>
          </a:r>
        </a:p>
      </xdr:txBody>
    </xdr:sp>
    <xdr:clientData/>
  </xdr:oneCellAnchor>
  <xdr:oneCellAnchor>
    <xdr:from>
      <xdr:col>0</xdr:col>
      <xdr:colOff>0</xdr:colOff>
      <xdr:row>27</xdr:row>
      <xdr:rowOff>152401</xdr:rowOff>
    </xdr:from>
    <xdr:ext cx="9211310" cy="1021080"/>
    <xdr:sp macro="" textlink="">
      <xdr:nvSpPr>
        <xdr:cNvPr id="3" name="矩形 2"/>
        <xdr:cNvSpPr/>
      </xdr:nvSpPr>
      <xdr:spPr>
        <a:xfrm rot="19780304">
          <a:off x="0" y="6336030"/>
          <a:ext cx="9211310" cy="1021080"/>
        </a:xfrm>
        <a:prstGeom prst="rect">
          <a:avLst/>
        </a:prstGeom>
        <a:noFill/>
        <a:effectLst/>
      </xdr:spPr>
      <xdr:txBody>
        <a:bodyPr wrap="square" lIns="91440" tIns="45720" rIns="91440" bIns="45720">
          <a:noAutofit/>
        </a:bodyPr>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a:r>
            <a:rPr lang="zh-CN" altLang="en-US" sz="3600" b="1" cap="none" spc="0">
              <a:ln w="12700">
                <a:noFill/>
                <a:prstDash val="solid"/>
              </a:ln>
              <a:solidFill>
                <a:schemeClr val="tx2">
                  <a:alpha val="33000"/>
                </a:schemeClr>
              </a:solidFill>
              <a:effectLst/>
            </a:rPr>
            <a:t>仅供中国移动内部使用</a:t>
          </a:r>
        </a:p>
      </xdr:txBody>
    </xdr:sp>
    <xdr:clientData/>
  </xdr:oneCellAnchor>
  <xdr:oneCellAnchor>
    <xdr:from>
      <xdr:col>0</xdr:col>
      <xdr:colOff>1180062</xdr:colOff>
      <xdr:row>47</xdr:row>
      <xdr:rowOff>187891</xdr:rowOff>
    </xdr:from>
    <xdr:ext cx="7515085" cy="1031240"/>
    <xdr:sp macro="" textlink="">
      <xdr:nvSpPr>
        <xdr:cNvPr id="9" name="矩形 8"/>
        <xdr:cNvSpPr/>
      </xdr:nvSpPr>
      <xdr:spPr>
        <a:xfrm rot="19780304">
          <a:off x="1179830" y="13392785"/>
          <a:ext cx="7515225" cy="1031240"/>
        </a:xfrm>
        <a:prstGeom prst="rect">
          <a:avLst/>
        </a:prstGeom>
        <a:noFill/>
        <a:effectLst/>
      </xdr:spPr>
      <xdr:txBody>
        <a:bodyPr wrap="square" lIns="91440" tIns="45720" rIns="91440" bIns="45720" anchor="ctr">
          <a:noAutofit/>
        </a:bodyPr>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a:r>
            <a:rPr lang="zh-CN" altLang="en-US" sz="3600" b="1" cap="none" spc="0">
              <a:ln w="12700">
                <a:noFill/>
                <a:prstDash val="solid"/>
              </a:ln>
              <a:solidFill>
                <a:schemeClr val="tx2">
                  <a:alpha val="33000"/>
                </a:schemeClr>
              </a:solidFill>
              <a:effectLst/>
            </a:rPr>
            <a:t>仅供中国移动内部使用</a:t>
          </a:r>
        </a:p>
      </xdr:txBody>
    </xdr:sp>
    <xdr:clientData/>
  </xdr:oneCellAnchor>
  <xdr:twoCellAnchor>
    <xdr:from>
      <xdr:col>0</xdr:col>
      <xdr:colOff>86360</xdr:colOff>
      <xdr:row>62</xdr:row>
      <xdr:rowOff>111125</xdr:rowOff>
    </xdr:from>
    <xdr:to>
      <xdr:col>9</xdr:col>
      <xdr:colOff>1410970</xdr:colOff>
      <xdr:row>68</xdr:row>
      <xdr:rowOff>13970</xdr:rowOff>
    </xdr:to>
    <xdr:sp macro="" textlink="">
      <xdr:nvSpPr>
        <xdr:cNvPr id="8" name="TextBox 14"/>
        <xdr:cNvSpPr txBox="1"/>
      </xdr:nvSpPr>
      <xdr:spPr>
        <a:xfrm>
          <a:off x="86360" y="21565235"/>
          <a:ext cx="15220950" cy="1160145"/>
        </a:xfrm>
        <a:prstGeom prst="rect">
          <a:avLst/>
        </a:prstGeom>
        <a:noFill/>
      </xdr:spPr>
      <xdr:txBody>
        <a:bodyPr wrap="square" rtlCol="0"/>
        <a:lstStyle>
          <a:defPPr>
            <a:defRPr lang="zh-CN"/>
          </a:defPPr>
          <a:lvl1pPr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1pPr>
          <a:lvl2pPr marL="457200"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2pPr>
          <a:lvl3pPr marL="914400"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3pPr>
          <a:lvl4pPr marL="1371600"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4pPr>
          <a:lvl5pPr marL="1828800"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5pPr>
          <a:lvl6pPr marL="2286000" algn="l" defTabSz="914400" rtl="0" eaLnBrk="1" latinLnBrk="0" hangingPunct="1">
            <a:defRPr kern="1200">
              <a:solidFill>
                <a:schemeClr val="tx1"/>
              </a:solidFill>
              <a:latin typeface="Arial" panose="020B0604020202020204" pitchFamily="7" charset="0"/>
              <a:ea typeface="宋体" panose="02010600030101010101" pitchFamily="7" charset="-122"/>
              <a:cs typeface="+mn-cs"/>
            </a:defRPr>
          </a:lvl6pPr>
          <a:lvl7pPr marL="2743200" algn="l" defTabSz="914400" rtl="0" eaLnBrk="1" latinLnBrk="0" hangingPunct="1">
            <a:defRPr kern="1200">
              <a:solidFill>
                <a:schemeClr val="tx1"/>
              </a:solidFill>
              <a:latin typeface="Arial" panose="020B0604020202020204" pitchFamily="7" charset="0"/>
              <a:ea typeface="宋体" panose="02010600030101010101" pitchFamily="7" charset="-122"/>
              <a:cs typeface="+mn-cs"/>
            </a:defRPr>
          </a:lvl7pPr>
          <a:lvl8pPr marL="3200400" algn="l" defTabSz="914400" rtl="0" eaLnBrk="1" latinLnBrk="0" hangingPunct="1">
            <a:defRPr kern="1200">
              <a:solidFill>
                <a:schemeClr val="tx1"/>
              </a:solidFill>
              <a:latin typeface="Arial" panose="020B0604020202020204" pitchFamily="7" charset="0"/>
              <a:ea typeface="宋体" panose="02010600030101010101" pitchFamily="7" charset="-122"/>
              <a:cs typeface="+mn-cs"/>
            </a:defRPr>
          </a:lvl8pPr>
          <a:lvl9pPr marL="3657600" algn="l" defTabSz="914400" rtl="0" eaLnBrk="1" latinLnBrk="0" hangingPunct="1">
            <a:defRPr kern="1200">
              <a:solidFill>
                <a:schemeClr val="tx1"/>
              </a:solidFill>
              <a:latin typeface="Arial" panose="020B0604020202020204" pitchFamily="7" charset="0"/>
              <a:ea typeface="宋体" panose="02010600030101010101" pitchFamily="7" charset="-122"/>
              <a:cs typeface="+mn-cs"/>
            </a:defRPr>
          </a:lvl9pPr>
        </a:lstStyle>
        <a:p>
          <a:pPr marL="539750" lvl="1" indent="-457200">
            <a:lnSpc>
              <a:spcPct val="100000"/>
            </a:lnSpc>
            <a:buFont typeface="Wingdings" panose="05000000000000000000" pitchFamily="2" charset="2"/>
            <a:buChar char="l"/>
          </a:pPr>
          <a:r>
            <a:rPr lang="en-US" altLang="zh-CN" sz="1200">
              <a:solidFill>
                <a:schemeClr val="tx1"/>
              </a:solidFill>
              <a:latin typeface="微软雅黑" panose="020B0503020204020204" pitchFamily="34" charset="-122"/>
              <a:ea typeface="微软雅黑" panose="020B0503020204020204" pitchFamily="34" charset="-122"/>
            </a:rPr>
            <a:t>5G</a:t>
          </a:r>
          <a:r>
            <a:rPr lang="zh-CN" altLang="en-US" sz="1200">
              <a:solidFill>
                <a:schemeClr val="tx1"/>
              </a:solidFill>
              <a:latin typeface="微软雅黑" panose="020B0503020204020204" pitchFamily="34" charset="-122"/>
              <a:ea typeface="微软雅黑" panose="020B0503020204020204" pitchFamily="34" charset="-122"/>
            </a:rPr>
            <a:t>行业流量资费</a:t>
          </a:r>
          <a:r>
            <a:rPr lang="zh-CN" altLang="en-US" sz="1200" b="1">
              <a:solidFill>
                <a:schemeClr val="tx1"/>
              </a:solidFill>
              <a:latin typeface="微软雅黑" panose="020B0503020204020204" pitchFamily="34" charset="-122"/>
              <a:ea typeface="微软雅黑" panose="020B0503020204020204" pitchFamily="34" charset="-122"/>
            </a:rPr>
            <a:t>目录价基础上</a:t>
          </a:r>
          <a:r>
            <a:rPr lang="zh-CN" altLang="en-US" sz="1200">
              <a:solidFill>
                <a:schemeClr val="tx1"/>
              </a:solidFill>
              <a:latin typeface="微软雅黑" panose="020B0503020204020204" pitchFamily="34" charset="-122"/>
              <a:ea typeface="微软雅黑" panose="020B0503020204020204" pitchFamily="34" charset="-122"/>
            </a:rPr>
            <a:t>对本地环回流量</a:t>
          </a:r>
          <a:r>
            <a:rPr lang="zh-CN" altLang="en-US" sz="1200" b="1">
              <a:solidFill>
                <a:schemeClr val="tx1"/>
              </a:solidFill>
              <a:latin typeface="微软雅黑" panose="020B0503020204020204" pitchFamily="34" charset="-122"/>
              <a:ea typeface="微软雅黑" panose="020B0503020204020204" pitchFamily="34" charset="-122"/>
            </a:rPr>
            <a:t>底价设置为</a:t>
          </a:r>
          <a:r>
            <a:rPr lang="en-US" altLang="zh-CN" sz="1200" b="1">
              <a:solidFill>
                <a:schemeClr val="tx1"/>
              </a:solidFill>
              <a:latin typeface="微软雅黑" panose="020B0503020204020204" pitchFamily="34" charset="-122"/>
              <a:ea typeface="微软雅黑" panose="020B0503020204020204" pitchFamily="34" charset="-122"/>
            </a:rPr>
            <a:t>5</a:t>
          </a:r>
          <a:r>
            <a:rPr lang="zh-CN" altLang="en-US" sz="1200" b="1">
              <a:solidFill>
                <a:schemeClr val="tx1"/>
              </a:solidFill>
              <a:latin typeface="微软雅黑" panose="020B0503020204020204" pitchFamily="34" charset="-122"/>
              <a:ea typeface="微软雅黑" panose="020B0503020204020204" pitchFamily="34" charset="-122"/>
            </a:rPr>
            <a:t>折，</a:t>
          </a:r>
          <a:r>
            <a:rPr lang="zh-CN" altLang="en-US" sz="1200">
              <a:solidFill>
                <a:schemeClr val="tx1"/>
              </a:solidFill>
              <a:latin typeface="微软雅黑" panose="020B0503020204020204" pitchFamily="34" charset="-122"/>
              <a:ea typeface="微软雅黑" panose="020B0503020204020204" pitchFamily="34" charset="-122"/>
            </a:rPr>
            <a:t>线上功能规划改造中。</a:t>
          </a:r>
        </a:p>
        <a:p>
          <a:pPr marL="539750" lvl="1" indent="-457200">
            <a:lnSpc>
              <a:spcPct val="100000"/>
            </a:lnSpc>
            <a:buFont typeface="Wingdings" panose="05000000000000000000" pitchFamily="2" charset="2"/>
            <a:buChar char="l"/>
          </a:pPr>
          <a:r>
            <a:rPr lang="zh-CN" altLang="zh-CN" sz="1200">
              <a:solidFill>
                <a:schemeClr val="tx1"/>
              </a:solidFill>
              <a:latin typeface="微软雅黑" panose="020B0503020204020204" pitchFamily="34" charset="-122"/>
              <a:ea typeface="微软雅黑" panose="020B0503020204020204" pitchFamily="34" charset="-122"/>
            </a:rPr>
            <a:t>省公司负责对该类项目进行判断，其中</a:t>
          </a:r>
          <a:r>
            <a:rPr lang="en-US" altLang="zh-CN" sz="1200">
              <a:solidFill>
                <a:schemeClr val="tx1"/>
              </a:solidFill>
              <a:latin typeface="微软雅黑" panose="020B0503020204020204" pitchFamily="34" charset="-122"/>
              <a:ea typeface="微软雅黑" panose="020B0503020204020204" pitchFamily="34" charset="-122"/>
            </a:rPr>
            <a:t>7</a:t>
          </a:r>
          <a:r>
            <a:rPr lang="zh-CN" altLang="zh-CN" sz="1200">
              <a:solidFill>
                <a:schemeClr val="tx1"/>
              </a:solidFill>
              <a:latin typeface="微软雅黑" panose="020B0503020204020204" pitchFamily="34" charset="-122"/>
              <a:ea typeface="微软雅黑" panose="020B0503020204020204" pitchFamily="34" charset="-122"/>
            </a:rPr>
            <a:t>折以下，</a:t>
          </a:r>
          <a:r>
            <a:rPr lang="en-US" altLang="zh-CN" sz="1200">
              <a:solidFill>
                <a:schemeClr val="tx1"/>
              </a:solidFill>
              <a:latin typeface="微软雅黑" panose="020B0503020204020204" pitchFamily="34" charset="-122"/>
              <a:ea typeface="微软雅黑" panose="020B0503020204020204" pitchFamily="34" charset="-122"/>
            </a:rPr>
            <a:t>5</a:t>
          </a:r>
          <a:r>
            <a:rPr lang="zh-CN" altLang="zh-CN" sz="1200">
              <a:solidFill>
                <a:schemeClr val="tx1"/>
              </a:solidFill>
              <a:latin typeface="微软雅黑" panose="020B0503020204020204" pitchFamily="34" charset="-122"/>
              <a:ea typeface="微软雅黑" panose="020B0503020204020204" pitchFamily="34" charset="-122"/>
            </a:rPr>
            <a:t>折</a:t>
          </a:r>
          <a:r>
            <a:rPr lang="zh-CN" altLang="en-US" sz="1200">
              <a:solidFill>
                <a:schemeClr val="tx1"/>
              </a:solidFill>
              <a:latin typeface="微软雅黑" panose="020B0503020204020204" pitchFamily="34" charset="-122"/>
              <a:ea typeface="微软雅黑" panose="020B0503020204020204" pitchFamily="34" charset="-122"/>
            </a:rPr>
            <a:t>及</a:t>
          </a:r>
          <a:r>
            <a:rPr lang="zh-CN" altLang="zh-CN" sz="1200">
              <a:solidFill>
                <a:schemeClr val="tx1"/>
              </a:solidFill>
              <a:latin typeface="微软雅黑" panose="020B0503020204020204" pitchFamily="34" charset="-122"/>
              <a:ea typeface="微软雅黑" panose="020B0503020204020204" pitchFamily="34" charset="-122"/>
            </a:rPr>
            <a:t>以上的项目需经省公司政企部</a:t>
          </a:r>
          <a:r>
            <a:rPr lang="zh-CN" altLang="en-US" sz="1200">
              <a:solidFill>
                <a:schemeClr val="tx1"/>
              </a:solidFill>
              <a:latin typeface="微软雅黑" panose="020B0503020204020204" pitchFamily="34" charset="-122"/>
              <a:ea typeface="微软雅黑" panose="020B0503020204020204" pitchFamily="34" charset="-122"/>
            </a:rPr>
            <a:t>部门领导</a:t>
          </a:r>
          <a:r>
            <a:rPr lang="zh-CN" altLang="zh-CN" sz="1200">
              <a:solidFill>
                <a:schemeClr val="tx1"/>
              </a:solidFill>
              <a:latin typeface="微软雅黑" panose="020B0503020204020204" pitchFamily="34" charset="-122"/>
              <a:ea typeface="微软雅黑" panose="020B0503020204020204" pitchFamily="34" charset="-122"/>
            </a:rPr>
            <a:t>审批，并向总部报备，总部不定期进行抽查</a:t>
          </a:r>
          <a:r>
            <a:rPr lang="zh-CN" altLang="en-US" sz="1200">
              <a:solidFill>
                <a:schemeClr val="tx1"/>
              </a:solidFill>
              <a:latin typeface="微软雅黑" panose="020B0503020204020204" pitchFamily="34" charset="-122"/>
              <a:ea typeface="微软雅黑" panose="020B0503020204020204" pitchFamily="34" charset="-122"/>
            </a:rPr>
            <a:t>。</a:t>
          </a:r>
          <a:endParaRPr lang="en-US" altLang="zh-CN" sz="1200">
            <a:solidFill>
              <a:schemeClr val="tx1"/>
            </a:solidFill>
            <a:latin typeface="微软雅黑" panose="020B0503020204020204" pitchFamily="34" charset="-122"/>
            <a:ea typeface="微软雅黑" panose="020B0503020204020204" pitchFamily="34" charset="-122"/>
          </a:endParaRPr>
        </a:p>
        <a:p>
          <a:pPr marL="539750" lvl="1" indent="-457200">
            <a:lnSpc>
              <a:spcPct val="100000"/>
            </a:lnSpc>
            <a:buFont typeface="Wingdings" panose="05000000000000000000" pitchFamily="2" charset="2"/>
            <a:buChar char="l"/>
          </a:pPr>
          <a:r>
            <a:rPr lang="en-US" altLang="zh-CN" sz="1200">
              <a:solidFill>
                <a:schemeClr val="tx1"/>
              </a:solidFill>
              <a:latin typeface="微软雅黑" panose="020B0503020204020204" pitchFamily="34" charset="-122"/>
              <a:ea typeface="微软雅黑" panose="020B0503020204020204" pitchFamily="34" charset="-122"/>
            </a:rPr>
            <a:t>5</a:t>
          </a:r>
          <a:r>
            <a:rPr lang="zh-CN" altLang="en-US" sz="1200">
              <a:solidFill>
                <a:schemeClr val="tx1"/>
              </a:solidFill>
              <a:latin typeface="微软雅黑" panose="020B0503020204020204" pitchFamily="34" charset="-122"/>
              <a:ea typeface="微软雅黑" panose="020B0503020204020204" pitchFamily="34" charset="-122"/>
            </a:rPr>
            <a:t>折底价之下，折扣审批管理与</a:t>
          </a:r>
          <a:r>
            <a:rPr lang="en-US" altLang="zh-CN" sz="1200">
              <a:solidFill>
                <a:schemeClr val="tx1"/>
              </a:solidFill>
              <a:latin typeface="微软雅黑" panose="020B0503020204020204" pitchFamily="34" charset="-122"/>
              <a:ea typeface="微软雅黑" panose="020B0503020204020204" pitchFamily="34" charset="-122"/>
            </a:rPr>
            <a:t>5G</a:t>
          </a:r>
          <a:r>
            <a:rPr lang="zh-CN" altLang="en-US" sz="1200">
              <a:solidFill>
                <a:schemeClr val="tx1"/>
              </a:solidFill>
              <a:latin typeface="微软雅黑" panose="020B0503020204020204" pitchFamily="34" charset="-122"/>
              <a:ea typeface="微软雅黑" panose="020B0503020204020204" pitchFamily="34" charset="-122"/>
            </a:rPr>
            <a:t>行业流量资费相同</a:t>
          </a:r>
          <a:r>
            <a:rPr lang="zh-CN" altLang="en-US" sz="1400">
              <a:solidFill>
                <a:schemeClr val="tx1"/>
              </a:solidFill>
              <a:latin typeface="微软雅黑" panose="020B0503020204020204" pitchFamily="34" charset="-122"/>
              <a:ea typeface="微软雅黑" panose="020B0503020204020204" pitchFamily="34" charset="-122"/>
            </a:rPr>
            <a:t>。</a:t>
          </a:r>
        </a:p>
        <a:p>
          <a:pPr marL="539750" lvl="1" indent="-457200">
            <a:lnSpc>
              <a:spcPct val="100000"/>
            </a:lnSpc>
            <a:buFont typeface="Wingdings" panose="05000000000000000000" pitchFamily="2" charset="2"/>
            <a:buChar char="l"/>
          </a:pPr>
          <a:r>
            <a:rPr lang="zh-CN" altLang="en-US" sz="1200">
              <a:solidFill>
                <a:schemeClr val="tx1"/>
              </a:solidFill>
              <a:latin typeface="微软雅黑" panose="020B0503020204020204" pitchFamily="34" charset="-122"/>
              <a:ea typeface="微软雅黑" panose="020B0503020204020204" pitchFamily="34" charset="-122"/>
            </a:rPr>
            <a:t>当前实现出区域范围关停上网功能，出区域范围差异化计费上线时间待定。</a:t>
          </a:r>
        </a:p>
      </xdr:txBody>
    </xdr:sp>
    <xdr:clientData/>
  </xdr:twoCellAnchor>
  <xdr:oneCellAnchor>
    <xdr:from>
      <xdr:col>7</xdr:col>
      <xdr:colOff>535305</xdr:colOff>
      <xdr:row>41</xdr:row>
      <xdr:rowOff>1400810</xdr:rowOff>
    </xdr:from>
    <xdr:ext cx="7515225" cy="1031240"/>
    <xdr:sp macro="" textlink="">
      <xdr:nvSpPr>
        <xdr:cNvPr id="4" name="矩形 3"/>
        <xdr:cNvSpPr/>
      </xdr:nvSpPr>
      <xdr:spPr>
        <a:xfrm rot="19780304">
          <a:off x="11147425" y="10937240"/>
          <a:ext cx="7515225" cy="1031240"/>
        </a:xfrm>
        <a:prstGeom prst="rect">
          <a:avLst/>
        </a:prstGeom>
        <a:noFill/>
        <a:effectLst/>
      </xdr:spPr>
      <xdr:txBody>
        <a:bodyPr wrap="square" lIns="91440" tIns="45720" rIns="91440" bIns="45720" anchor="ctr">
          <a:noAutofit/>
        </a:bodyPr>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a:r>
            <a:rPr lang="zh-CN" altLang="en-US" sz="3600" b="1" cap="none" spc="0">
              <a:ln w="12700">
                <a:noFill/>
                <a:prstDash val="solid"/>
              </a:ln>
              <a:solidFill>
                <a:schemeClr val="tx2">
                  <a:alpha val="33000"/>
                </a:schemeClr>
              </a:solidFill>
              <a:effectLst/>
            </a:rPr>
            <a:t>仅供中国移动内部使用</a:t>
          </a: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3</xdr:col>
      <xdr:colOff>15240</xdr:colOff>
      <xdr:row>9</xdr:row>
      <xdr:rowOff>182245</xdr:rowOff>
    </xdr:from>
    <xdr:ext cx="9211789" cy="1022198"/>
    <xdr:sp macro="" textlink="">
      <xdr:nvSpPr>
        <xdr:cNvPr id="2" name="矩形 1"/>
        <xdr:cNvSpPr/>
      </xdr:nvSpPr>
      <xdr:spPr>
        <a:xfrm rot="19237802">
          <a:off x="4297680" y="3744595"/>
          <a:ext cx="9211310" cy="1021715"/>
        </a:xfrm>
        <a:prstGeom prst="rect">
          <a:avLst/>
        </a:prstGeom>
        <a:noFill/>
        <a:effectLst/>
      </xdr:spPr>
      <xdr:txBody>
        <a:bodyPr wrap="square" lIns="91440" tIns="45720" rIns="91440" bIns="45720">
          <a:noAutofit/>
        </a:bodyPr>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a:r>
            <a:rPr lang="zh-CN" altLang="en-US" sz="3600" b="1" cap="none" spc="0">
              <a:ln w="12700">
                <a:noFill/>
                <a:prstDash val="solid"/>
              </a:ln>
              <a:solidFill>
                <a:schemeClr val="tx2">
                  <a:alpha val="33000"/>
                </a:schemeClr>
              </a:solidFill>
              <a:effectLst/>
            </a:rPr>
            <a:t>仅供中国移动内部使用</a:t>
          </a:r>
        </a:p>
      </xdr:txBody>
    </xdr:sp>
    <xdr:clientData/>
  </xdr:oneCellAnchor>
  <xdr:oneCellAnchor>
    <xdr:from>
      <xdr:col>5</xdr:col>
      <xdr:colOff>3197630</xdr:colOff>
      <xdr:row>19</xdr:row>
      <xdr:rowOff>0</xdr:rowOff>
    </xdr:from>
    <xdr:ext cx="9211789" cy="1079348"/>
    <xdr:sp macro="" textlink="">
      <xdr:nvSpPr>
        <xdr:cNvPr id="5" name="矩形 4"/>
        <xdr:cNvSpPr/>
      </xdr:nvSpPr>
      <xdr:spPr>
        <a:xfrm rot="19237802">
          <a:off x="12521565" y="7985125"/>
          <a:ext cx="9211310" cy="1078865"/>
        </a:xfrm>
        <a:prstGeom prst="rect">
          <a:avLst/>
        </a:prstGeom>
        <a:noFill/>
        <a:effectLst/>
      </xdr:spPr>
      <xdr:txBody>
        <a:bodyPr wrap="square" lIns="91440" tIns="45720" rIns="91440" bIns="45720">
          <a:noAutofit/>
        </a:bodyPr>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a:r>
            <a:rPr lang="zh-CN" altLang="en-US" sz="3600" b="1" cap="none" spc="0">
              <a:ln w="12700">
                <a:noFill/>
                <a:prstDash val="solid"/>
              </a:ln>
              <a:solidFill>
                <a:schemeClr val="tx2">
                  <a:alpha val="33000"/>
                </a:schemeClr>
              </a:solidFill>
              <a:effectLst/>
            </a:rPr>
            <a:t>仅供中国移动内部使用</a:t>
          </a:r>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0</xdr:col>
      <xdr:colOff>0</xdr:colOff>
      <xdr:row>5</xdr:row>
      <xdr:rowOff>0</xdr:rowOff>
    </xdr:from>
    <xdr:to>
      <xdr:col>5</xdr:col>
      <xdr:colOff>0</xdr:colOff>
      <xdr:row>21</xdr:row>
      <xdr:rowOff>30480</xdr:rowOff>
    </xdr:to>
    <xdr:sp macro="" textlink="">
      <xdr:nvSpPr>
        <xdr:cNvPr id="2" name="矩形 1"/>
        <xdr:cNvSpPr/>
      </xdr:nvSpPr>
      <xdr:spPr>
        <a:xfrm>
          <a:off x="0" y="1948180"/>
          <a:ext cx="7128510" cy="2875280"/>
        </a:xfrm>
        <a:prstGeom prst="rect">
          <a:avLst/>
        </a:prstGeom>
        <a:solidFill>
          <a:schemeClr val="bg2"/>
        </a:solidFill>
      </xdr:spPr>
      <xdr:txBody>
        <a:bodyPr wrap="square"/>
        <a:lstStyle>
          <a:defPPr>
            <a:defRPr lang="zh-CN"/>
          </a:defPPr>
          <a:lvl1pPr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1pPr>
          <a:lvl2pPr marL="457200"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2pPr>
          <a:lvl3pPr marL="914400"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3pPr>
          <a:lvl4pPr marL="1371600"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4pPr>
          <a:lvl5pPr marL="1828800"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5pPr>
          <a:lvl6pPr marL="2286000" algn="l" defTabSz="914400" rtl="0" eaLnBrk="1" latinLnBrk="0" hangingPunct="1">
            <a:defRPr kern="1200">
              <a:solidFill>
                <a:schemeClr val="tx1"/>
              </a:solidFill>
              <a:latin typeface="Arial" panose="020B0604020202020204" pitchFamily="7" charset="0"/>
              <a:ea typeface="宋体" panose="02010600030101010101" pitchFamily="7" charset="-122"/>
              <a:cs typeface="+mn-cs"/>
            </a:defRPr>
          </a:lvl6pPr>
          <a:lvl7pPr marL="2743200" algn="l" defTabSz="914400" rtl="0" eaLnBrk="1" latinLnBrk="0" hangingPunct="1">
            <a:defRPr kern="1200">
              <a:solidFill>
                <a:schemeClr val="tx1"/>
              </a:solidFill>
              <a:latin typeface="Arial" panose="020B0604020202020204" pitchFamily="7" charset="0"/>
              <a:ea typeface="宋体" panose="02010600030101010101" pitchFamily="7" charset="-122"/>
              <a:cs typeface="+mn-cs"/>
            </a:defRPr>
          </a:lvl7pPr>
          <a:lvl8pPr marL="3200400" algn="l" defTabSz="914400" rtl="0" eaLnBrk="1" latinLnBrk="0" hangingPunct="1">
            <a:defRPr kern="1200">
              <a:solidFill>
                <a:schemeClr val="tx1"/>
              </a:solidFill>
              <a:latin typeface="Arial" panose="020B0604020202020204" pitchFamily="7" charset="0"/>
              <a:ea typeface="宋体" panose="02010600030101010101" pitchFamily="7" charset="-122"/>
              <a:cs typeface="+mn-cs"/>
            </a:defRPr>
          </a:lvl8pPr>
          <a:lvl9pPr marL="3657600" algn="l" defTabSz="914400" rtl="0" eaLnBrk="1" latinLnBrk="0" hangingPunct="1">
            <a:defRPr kern="1200">
              <a:solidFill>
                <a:schemeClr val="tx1"/>
              </a:solidFill>
              <a:latin typeface="Arial" panose="020B0604020202020204" pitchFamily="7" charset="0"/>
              <a:ea typeface="宋体" panose="02010600030101010101" pitchFamily="7" charset="-122"/>
              <a:cs typeface="+mn-cs"/>
            </a:defRPr>
          </a:lvl9pPr>
        </a:lstStyle>
        <a:p>
          <a:pPr marL="467995" indent="-457200">
            <a:lnSpc>
              <a:spcPct val="120000"/>
            </a:lnSpc>
            <a:buFont typeface="Wingdings" panose="05000000000000000000" pitchFamily="2" charset="2"/>
            <a:buChar char="p"/>
          </a:pPr>
          <a:r>
            <a:rPr lang="zh-CN" altLang="en-US" sz="1200" b="1">
              <a:solidFill>
                <a:srgbClr val="000000"/>
              </a:solidFill>
              <a:latin typeface="微软雅黑" panose="020B0503020204020204" pitchFamily="34" charset="-122"/>
              <a:ea typeface="微软雅黑" panose="020B0503020204020204" pitchFamily="34" charset="-122"/>
            </a:rPr>
            <a:t>订购规则：</a:t>
          </a:r>
          <a:r>
            <a:rPr lang="en-US" altLang="zh-CN" sz="1200" b="0">
              <a:solidFill>
                <a:srgbClr val="000000"/>
              </a:solidFill>
              <a:latin typeface="微软雅黑" panose="020B0503020204020204" pitchFamily="34" charset="-122"/>
              <a:ea typeface="微软雅黑" panose="020B0503020204020204" pitchFamily="34" charset="-122"/>
            </a:rPr>
            <a:t>5G</a:t>
          </a:r>
          <a:r>
            <a:rPr lang="zh-CN" altLang="en-US" sz="1200" b="0">
              <a:solidFill>
                <a:srgbClr val="000000"/>
              </a:solidFill>
              <a:latin typeface="微软雅黑" panose="020B0503020204020204" pitchFamily="34" charset="-122"/>
              <a:ea typeface="微软雅黑" panose="020B0503020204020204" pitchFamily="34" charset="-122"/>
            </a:rPr>
            <a:t>行业流量业务加速包为中国移动推出的网络服务权益提升商品，客户无需变更</a:t>
          </a:r>
          <a:r>
            <a:rPr lang="en-US" altLang="zh-CN" sz="1200" b="0">
              <a:solidFill>
                <a:srgbClr val="000000"/>
              </a:solidFill>
              <a:latin typeface="微软雅黑" panose="020B0503020204020204" pitchFamily="34" charset="-122"/>
              <a:ea typeface="微软雅黑" panose="020B0503020204020204" pitchFamily="34" charset="-122"/>
            </a:rPr>
            <a:t>5G</a:t>
          </a:r>
          <a:r>
            <a:rPr lang="zh-CN" altLang="en-US" sz="1200" b="0">
              <a:solidFill>
                <a:srgbClr val="000000"/>
              </a:solidFill>
              <a:latin typeface="微软雅黑" panose="020B0503020204020204" pitchFamily="34" charset="-122"/>
              <a:ea typeface="微软雅黑" panose="020B0503020204020204" pitchFamily="34" charset="-122"/>
            </a:rPr>
            <a:t>行业流量资费。</a:t>
          </a:r>
        </a:p>
        <a:p>
          <a:pPr marL="467995" indent="-457200">
            <a:lnSpc>
              <a:spcPct val="120000"/>
            </a:lnSpc>
            <a:buFont typeface="Wingdings" panose="05000000000000000000" pitchFamily="2" charset="2"/>
            <a:buChar char="p"/>
          </a:pPr>
          <a:r>
            <a:rPr lang="zh-CN" altLang="en-US" sz="1200" b="1">
              <a:solidFill>
                <a:srgbClr val="000000"/>
              </a:solidFill>
              <a:latin typeface="微软雅黑" panose="020B0503020204020204" pitchFamily="34" charset="-122"/>
              <a:ea typeface="微软雅黑" panose="020B0503020204020204" pitchFamily="34" charset="-122"/>
            </a:rPr>
            <a:t>资费效用：</a:t>
          </a:r>
          <a:endParaRPr lang="en-US" altLang="zh-CN" sz="1200" b="1">
            <a:solidFill>
              <a:srgbClr val="000000"/>
            </a:solidFill>
            <a:latin typeface="微软雅黑" panose="020B0503020204020204" pitchFamily="34" charset="-122"/>
            <a:ea typeface="微软雅黑" panose="020B0503020204020204" pitchFamily="34" charset="-122"/>
          </a:endParaRPr>
        </a:p>
        <a:p>
          <a:pPr marL="467995" indent="-457200">
            <a:lnSpc>
              <a:spcPct val="120000"/>
            </a:lnSpc>
            <a:buFont typeface="Wingdings" panose="05000000000000000000" pitchFamily="2" charset="2"/>
            <a:buChar char="p"/>
          </a:pPr>
          <a:r>
            <a:rPr lang="en-US" altLang="zh-CN" sz="1200" b="1">
              <a:solidFill>
                <a:srgbClr val="000000"/>
              </a:solidFill>
              <a:latin typeface="微软雅黑" panose="020B0503020204020204" pitchFamily="34" charset="-122"/>
              <a:ea typeface="微软雅黑" panose="020B0503020204020204" pitchFamily="34" charset="-122"/>
            </a:rPr>
            <a:t>1.</a:t>
          </a:r>
          <a:r>
            <a:rPr lang="zh-CN" altLang="en-US" sz="1200" b="0">
              <a:solidFill>
                <a:srgbClr val="000000"/>
              </a:solidFill>
              <a:latin typeface="微软雅黑" panose="020B0503020204020204" pitchFamily="34" charset="-122"/>
              <a:ea typeface="微软雅黑" panose="020B0503020204020204" pitchFamily="34" charset="-122"/>
            </a:rPr>
            <a:t>办理</a:t>
          </a:r>
          <a:r>
            <a:rPr lang="en-US" altLang="zh-CN" sz="1200" b="0">
              <a:solidFill>
                <a:srgbClr val="000000"/>
              </a:solidFill>
              <a:latin typeface="微软雅黑" panose="020B0503020204020204" pitchFamily="34" charset="-122"/>
              <a:ea typeface="微软雅黑" panose="020B0503020204020204" pitchFamily="34" charset="-122"/>
            </a:rPr>
            <a:t>5G</a:t>
          </a:r>
          <a:r>
            <a:rPr lang="zh-CN" altLang="en-US" sz="1200" b="0">
              <a:solidFill>
                <a:srgbClr val="000000"/>
              </a:solidFill>
              <a:latin typeface="微软雅黑" panose="020B0503020204020204" pitchFamily="34" charset="-122"/>
              <a:ea typeface="微软雅黑" panose="020B0503020204020204" pitchFamily="34" charset="-122"/>
            </a:rPr>
            <a:t>畅联服务升级为极速服务的业务加速包可享受</a:t>
          </a:r>
          <a:r>
            <a:rPr lang="en-US" altLang="zh-CN" sz="1200" b="0">
              <a:solidFill>
                <a:srgbClr val="000000"/>
              </a:solidFill>
              <a:latin typeface="微软雅黑" panose="020B0503020204020204" pitchFamily="34" charset="-122"/>
              <a:ea typeface="微软雅黑" panose="020B0503020204020204" pitchFamily="34" charset="-122"/>
            </a:rPr>
            <a:t>5G</a:t>
          </a:r>
          <a:r>
            <a:rPr lang="zh-CN" altLang="en-US" sz="1200" b="0">
              <a:solidFill>
                <a:srgbClr val="000000"/>
              </a:solidFill>
              <a:latin typeface="微软雅黑" panose="020B0503020204020204" pitchFamily="34" charset="-122"/>
              <a:ea typeface="微软雅黑" panose="020B0503020204020204" pitchFamily="34" charset="-122"/>
            </a:rPr>
            <a:t>极速服务，提供高于</a:t>
          </a:r>
          <a:r>
            <a:rPr lang="en-US" altLang="zh-CN" sz="1200" b="0">
              <a:solidFill>
                <a:srgbClr val="000000"/>
              </a:solidFill>
              <a:latin typeface="微软雅黑" panose="020B0503020204020204" pitchFamily="34" charset="-122"/>
              <a:ea typeface="微软雅黑" panose="020B0503020204020204" pitchFamily="34" charset="-122"/>
            </a:rPr>
            <a:t>5G</a:t>
          </a:r>
          <a:r>
            <a:rPr lang="zh-CN" altLang="en-US" sz="1200" b="0">
              <a:solidFill>
                <a:srgbClr val="000000"/>
              </a:solidFill>
              <a:latin typeface="微软雅黑" panose="020B0503020204020204" pitchFamily="34" charset="-122"/>
              <a:ea typeface="微软雅黑" panose="020B0503020204020204" pitchFamily="34" charset="-122"/>
            </a:rPr>
            <a:t>畅联服务的网络峰值速率，以及繁忙地区的优先接入保障。  </a:t>
          </a:r>
          <a:endParaRPr lang="en-US" altLang="zh-CN" sz="1200" b="0">
            <a:solidFill>
              <a:srgbClr val="000000"/>
            </a:solidFill>
            <a:latin typeface="微软雅黑" panose="020B0503020204020204" pitchFamily="34" charset="-122"/>
            <a:ea typeface="微软雅黑" panose="020B0503020204020204" pitchFamily="34" charset="-122"/>
          </a:endParaRPr>
        </a:p>
        <a:p>
          <a:pPr marL="467995" indent="-457200">
            <a:lnSpc>
              <a:spcPct val="120000"/>
            </a:lnSpc>
            <a:buFont typeface="Wingdings" panose="05000000000000000000" pitchFamily="2" charset="2"/>
            <a:buChar char="p"/>
          </a:pPr>
          <a:r>
            <a:rPr lang="en-US" altLang="zh-CN" sz="1200" b="0" kern="1200">
              <a:solidFill>
                <a:srgbClr val="000000"/>
              </a:solidFill>
              <a:latin typeface="微软雅黑" panose="020B0503020204020204" pitchFamily="34" charset="-122"/>
              <a:ea typeface="微软雅黑" panose="020B0503020204020204" pitchFamily="34" charset="-122"/>
              <a:cs typeface="+mn-cs"/>
            </a:rPr>
            <a:t>2.</a:t>
          </a:r>
          <a:r>
            <a:rPr lang="zh-CN" altLang="zh-CN" sz="1200" b="0" kern="1200">
              <a:solidFill>
                <a:srgbClr val="000000"/>
              </a:solidFill>
              <a:latin typeface="微软雅黑" panose="020B0503020204020204" pitchFamily="34" charset="-122"/>
              <a:ea typeface="微软雅黑" panose="020B0503020204020204" pitchFamily="34" charset="-122"/>
              <a:cs typeface="+mn-cs"/>
            </a:rPr>
            <a:t>办理</a:t>
          </a:r>
          <a:r>
            <a:rPr lang="en-US" altLang="zh-CN" sz="1200" b="0" kern="1200">
              <a:solidFill>
                <a:srgbClr val="000000"/>
              </a:solidFill>
              <a:latin typeface="微软雅黑" panose="020B0503020204020204" pitchFamily="34" charset="-122"/>
              <a:ea typeface="微软雅黑" panose="020B0503020204020204" pitchFamily="34" charset="-122"/>
              <a:cs typeface="+mn-cs"/>
            </a:rPr>
            <a:t>5G</a:t>
          </a:r>
          <a:r>
            <a:rPr lang="zh-CN" altLang="en-US" sz="1200" b="0" kern="1200">
              <a:solidFill>
                <a:srgbClr val="000000"/>
              </a:solidFill>
              <a:latin typeface="微软雅黑" panose="020B0503020204020204" pitchFamily="34" charset="-122"/>
              <a:ea typeface="微软雅黑" panose="020B0503020204020204" pitchFamily="34" charset="-122"/>
              <a:cs typeface="+mn-cs"/>
            </a:rPr>
            <a:t>畅联服务或极速服务升级为迅驰服务</a:t>
          </a:r>
          <a:r>
            <a:rPr lang="zh-CN" altLang="zh-CN" sz="1200" b="0" kern="1200">
              <a:solidFill>
                <a:srgbClr val="000000"/>
              </a:solidFill>
              <a:latin typeface="微软雅黑" panose="020B0503020204020204" pitchFamily="34" charset="-122"/>
              <a:ea typeface="微软雅黑" panose="020B0503020204020204" pitchFamily="34" charset="-122"/>
              <a:cs typeface="+mn-cs"/>
            </a:rPr>
            <a:t>的业务加速包可享受</a:t>
          </a:r>
          <a:r>
            <a:rPr lang="en-US" altLang="zh-CN" sz="1200" b="0" kern="1200">
              <a:solidFill>
                <a:srgbClr val="000000"/>
              </a:solidFill>
              <a:latin typeface="微软雅黑" panose="020B0503020204020204" pitchFamily="34" charset="-122"/>
              <a:ea typeface="微软雅黑" panose="020B0503020204020204" pitchFamily="34" charset="-122"/>
              <a:cs typeface="+mn-cs"/>
            </a:rPr>
            <a:t>5G</a:t>
          </a:r>
          <a:r>
            <a:rPr lang="zh-CN" altLang="en-US" sz="1200" b="0" kern="1200">
              <a:solidFill>
                <a:srgbClr val="000000"/>
              </a:solidFill>
              <a:latin typeface="微软雅黑" panose="020B0503020204020204" pitchFamily="34" charset="-122"/>
              <a:ea typeface="微软雅黑" panose="020B0503020204020204" pitchFamily="34" charset="-122"/>
              <a:cs typeface="+mn-cs"/>
            </a:rPr>
            <a:t>迅驰</a:t>
          </a:r>
          <a:r>
            <a:rPr lang="zh-CN" altLang="zh-CN" sz="1200" b="0" kern="1200">
              <a:solidFill>
                <a:srgbClr val="000000"/>
              </a:solidFill>
              <a:latin typeface="微软雅黑" panose="020B0503020204020204" pitchFamily="34" charset="-122"/>
              <a:ea typeface="微软雅黑" panose="020B0503020204020204" pitchFamily="34" charset="-122"/>
              <a:cs typeface="+mn-cs"/>
            </a:rPr>
            <a:t>服务，提供高于</a:t>
          </a:r>
          <a:r>
            <a:rPr lang="en-US" altLang="zh-CN" sz="1200" b="0" kern="1200">
              <a:solidFill>
                <a:srgbClr val="000000"/>
              </a:solidFill>
              <a:latin typeface="微软雅黑" panose="020B0503020204020204" pitchFamily="34" charset="-122"/>
              <a:ea typeface="微软雅黑" panose="020B0503020204020204" pitchFamily="34" charset="-122"/>
              <a:cs typeface="+mn-cs"/>
            </a:rPr>
            <a:t>5G</a:t>
          </a:r>
          <a:r>
            <a:rPr lang="zh-CN" altLang="zh-CN" sz="1200" b="0" kern="1200">
              <a:solidFill>
                <a:srgbClr val="000000"/>
              </a:solidFill>
              <a:latin typeface="微软雅黑" panose="020B0503020204020204" pitchFamily="34" charset="-122"/>
              <a:ea typeface="微软雅黑" panose="020B0503020204020204" pitchFamily="34" charset="-122"/>
              <a:cs typeface="+mn-cs"/>
            </a:rPr>
            <a:t>畅联服务的网络峰值速率，以及繁忙地区的优先接入保障</a:t>
          </a:r>
          <a:r>
            <a:rPr lang="zh-CN" altLang="en-US" sz="1200" b="0" kern="1200">
              <a:solidFill>
                <a:srgbClr val="000000"/>
              </a:solidFill>
              <a:latin typeface="微软雅黑" panose="020B0503020204020204" pitchFamily="34" charset="-122"/>
              <a:ea typeface="微软雅黑" panose="020B0503020204020204" pitchFamily="34" charset="-122"/>
              <a:cs typeface="+mn-cs"/>
            </a:rPr>
            <a:t>；提供高于</a:t>
          </a:r>
          <a:r>
            <a:rPr lang="en-US" altLang="zh-CN" sz="1200" b="0" kern="1200">
              <a:solidFill>
                <a:srgbClr val="000000"/>
              </a:solidFill>
              <a:latin typeface="微软雅黑" panose="020B0503020204020204" pitchFamily="34" charset="-122"/>
              <a:ea typeface="微软雅黑" panose="020B0503020204020204" pitchFamily="34" charset="-122"/>
              <a:cs typeface="+mn-cs"/>
            </a:rPr>
            <a:t>5G</a:t>
          </a:r>
          <a:r>
            <a:rPr lang="zh-CN" altLang="en-US" sz="1200" b="0" kern="1200">
              <a:solidFill>
                <a:srgbClr val="000000"/>
              </a:solidFill>
              <a:latin typeface="微软雅黑" panose="020B0503020204020204" pitchFamily="34" charset="-122"/>
              <a:ea typeface="微软雅黑" panose="020B0503020204020204" pitchFamily="34" charset="-122"/>
              <a:cs typeface="+mn-cs"/>
            </a:rPr>
            <a:t>极速服务的网络峰值速率，繁忙地区的接入优先级与极速服务相同</a:t>
          </a:r>
          <a:r>
            <a:rPr lang="zh-CN" altLang="en-US" sz="1100" b="0" kern="1200">
              <a:solidFill>
                <a:schemeClr val="tx1"/>
              </a:solidFill>
              <a:latin typeface="Arial" panose="020B0604020202020204" pitchFamily="7" charset="0"/>
              <a:ea typeface="宋体" panose="02010600030101010101" pitchFamily="7" charset="-122"/>
              <a:cs typeface="+mn-cs"/>
            </a:rPr>
            <a:t>。</a:t>
          </a:r>
          <a:endParaRPr lang="en-US" altLang="zh-CN" sz="1200" b="0">
            <a:solidFill>
              <a:srgbClr val="000000"/>
            </a:solidFill>
            <a:latin typeface="微软雅黑" panose="020B0503020204020204" pitchFamily="34" charset="-122"/>
            <a:ea typeface="微软雅黑" panose="020B0503020204020204" pitchFamily="34" charset="-122"/>
          </a:endParaRPr>
        </a:p>
        <a:p>
          <a:pPr marL="467995" indent="-457200">
            <a:lnSpc>
              <a:spcPct val="120000"/>
            </a:lnSpc>
            <a:buFont typeface="Wingdings" panose="05000000000000000000" pitchFamily="2" charset="2"/>
            <a:buChar char="p"/>
          </a:pPr>
          <a:r>
            <a:rPr lang="zh-CN" altLang="en-US" sz="1200" b="1">
              <a:solidFill>
                <a:srgbClr val="000000"/>
              </a:solidFill>
              <a:latin typeface="微软雅黑" panose="020B0503020204020204" pitchFamily="34" charset="-122"/>
              <a:ea typeface="微软雅黑" panose="020B0503020204020204" pitchFamily="34" charset="-122"/>
            </a:rPr>
            <a:t>结算规则：</a:t>
          </a:r>
          <a:r>
            <a:rPr lang="zh-CN" altLang="en-US" sz="1200" b="0">
              <a:solidFill>
                <a:srgbClr val="000000"/>
              </a:solidFill>
              <a:latin typeface="微软雅黑" panose="020B0503020204020204" pitchFamily="34" charset="-122"/>
              <a:ea typeface="微软雅黑" panose="020B0503020204020204" pitchFamily="34" charset="-122"/>
            </a:rPr>
            <a:t>不参与结算。</a:t>
          </a:r>
          <a:endParaRPr lang="zh-CN" altLang="en-US" sz="1200" b="1">
            <a:solidFill>
              <a:srgbClr val="000000"/>
            </a:solidFill>
            <a:latin typeface="微软雅黑" panose="020B0503020204020204" pitchFamily="34" charset="-122"/>
            <a:ea typeface="微软雅黑" panose="020B0503020204020204" pitchFamily="34" charset="-122"/>
          </a:endParaRPr>
        </a:p>
      </xdr:txBody>
    </xdr:sp>
    <xdr:clientData/>
  </xdr:twoCellAnchor>
  <xdr:oneCellAnchor>
    <xdr:from>
      <xdr:col>0</xdr:col>
      <xdr:colOff>0</xdr:colOff>
      <xdr:row>5</xdr:row>
      <xdr:rowOff>148386</xdr:rowOff>
    </xdr:from>
    <xdr:ext cx="7504583" cy="1037438"/>
    <xdr:sp macro="" textlink="">
      <xdr:nvSpPr>
        <xdr:cNvPr id="3" name="矩形 2"/>
        <xdr:cNvSpPr/>
      </xdr:nvSpPr>
      <xdr:spPr>
        <a:xfrm rot="19780304">
          <a:off x="0" y="2096135"/>
          <a:ext cx="7504430" cy="1037590"/>
        </a:xfrm>
        <a:prstGeom prst="rect">
          <a:avLst/>
        </a:prstGeom>
        <a:noFill/>
        <a:effectLst/>
      </xdr:spPr>
      <xdr:txBody>
        <a:bodyPr wrap="square" lIns="91440" tIns="45720" rIns="91440" bIns="45720">
          <a:noAutofit/>
        </a:bodyPr>
        <a:lstStyle/>
        <a:p>
          <a:pPr algn="ctr"/>
          <a:r>
            <a:rPr lang="zh-CN" altLang="en-US" sz="3600" b="1" cap="none" spc="0">
              <a:ln w="12700">
                <a:noFill/>
                <a:prstDash val="solid"/>
              </a:ln>
              <a:solidFill>
                <a:schemeClr val="tx2">
                  <a:alpha val="33000"/>
                </a:schemeClr>
              </a:solidFill>
              <a:effectLst/>
            </a:rPr>
            <a:t>仅供中国移动内部使用</a:t>
          </a:r>
        </a:p>
      </xdr:txBody>
    </xdr:sp>
    <xdr:clientData/>
  </xdr:oneCellAnchor>
</xdr:wsDr>
</file>

<file path=xl/drawings/drawing7.xml><?xml version="1.0" encoding="utf-8"?>
<xdr:wsDr xmlns:xdr="http://schemas.openxmlformats.org/drawingml/2006/spreadsheetDrawing" xmlns:a="http://schemas.openxmlformats.org/drawingml/2006/main">
  <xdr:twoCellAnchor>
    <xdr:from>
      <xdr:col>0</xdr:col>
      <xdr:colOff>0</xdr:colOff>
      <xdr:row>6</xdr:row>
      <xdr:rowOff>0</xdr:rowOff>
    </xdr:from>
    <xdr:to>
      <xdr:col>3</xdr:col>
      <xdr:colOff>607695</xdr:colOff>
      <xdr:row>8</xdr:row>
      <xdr:rowOff>30480</xdr:rowOff>
    </xdr:to>
    <xdr:sp macro="" textlink="">
      <xdr:nvSpPr>
        <xdr:cNvPr id="2" name="矩形 1"/>
        <xdr:cNvSpPr/>
      </xdr:nvSpPr>
      <xdr:spPr>
        <a:xfrm>
          <a:off x="0" y="1485900"/>
          <a:ext cx="4324350" cy="386080"/>
        </a:xfrm>
        <a:prstGeom prst="rect">
          <a:avLst/>
        </a:prstGeom>
        <a:solidFill>
          <a:schemeClr val="bg2"/>
        </a:solidFill>
      </xdr:spPr>
      <xdr:txBody>
        <a:bodyPr wrap="square">
          <a:noAutofit/>
        </a:bodyPr>
        <a:lstStyle>
          <a:defPPr>
            <a:defRPr lang="zh-CN"/>
          </a:defPPr>
          <a:lvl1pPr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1pPr>
          <a:lvl2pPr marL="457200"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2pPr>
          <a:lvl3pPr marL="914400"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3pPr>
          <a:lvl4pPr marL="1371600"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4pPr>
          <a:lvl5pPr marL="1828800"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5pPr>
          <a:lvl6pPr marL="2286000" algn="l" defTabSz="914400" rtl="0" eaLnBrk="1" latinLnBrk="0" hangingPunct="1">
            <a:defRPr kern="1200">
              <a:solidFill>
                <a:schemeClr val="tx1"/>
              </a:solidFill>
              <a:latin typeface="Arial" panose="020B0604020202020204" pitchFamily="7" charset="0"/>
              <a:ea typeface="宋体" panose="02010600030101010101" pitchFamily="7" charset="-122"/>
              <a:cs typeface="+mn-cs"/>
            </a:defRPr>
          </a:lvl6pPr>
          <a:lvl7pPr marL="2743200" algn="l" defTabSz="914400" rtl="0" eaLnBrk="1" latinLnBrk="0" hangingPunct="1">
            <a:defRPr kern="1200">
              <a:solidFill>
                <a:schemeClr val="tx1"/>
              </a:solidFill>
              <a:latin typeface="Arial" panose="020B0604020202020204" pitchFamily="7" charset="0"/>
              <a:ea typeface="宋体" panose="02010600030101010101" pitchFamily="7" charset="-122"/>
              <a:cs typeface="+mn-cs"/>
            </a:defRPr>
          </a:lvl7pPr>
          <a:lvl8pPr marL="3200400" algn="l" defTabSz="914400" rtl="0" eaLnBrk="1" latinLnBrk="0" hangingPunct="1">
            <a:defRPr kern="1200">
              <a:solidFill>
                <a:schemeClr val="tx1"/>
              </a:solidFill>
              <a:latin typeface="Arial" panose="020B0604020202020204" pitchFamily="7" charset="0"/>
              <a:ea typeface="宋体" panose="02010600030101010101" pitchFamily="7" charset="-122"/>
              <a:cs typeface="+mn-cs"/>
            </a:defRPr>
          </a:lvl8pPr>
          <a:lvl9pPr marL="3657600" algn="l" defTabSz="914400" rtl="0" eaLnBrk="1" latinLnBrk="0" hangingPunct="1">
            <a:defRPr kern="1200">
              <a:solidFill>
                <a:schemeClr val="tx1"/>
              </a:solidFill>
              <a:latin typeface="Arial" panose="020B0604020202020204" pitchFamily="7" charset="0"/>
              <a:ea typeface="宋体" panose="02010600030101010101" pitchFamily="7" charset="-122"/>
              <a:cs typeface="+mn-cs"/>
            </a:defRPr>
          </a:lvl9pPr>
        </a:lstStyle>
        <a:p>
          <a:pPr marL="467995" indent="-457200">
            <a:lnSpc>
              <a:spcPct val="120000"/>
            </a:lnSpc>
            <a:buFont typeface="Wingdings" panose="05000000000000000000" pitchFamily="2" charset="2"/>
            <a:buChar char="p"/>
          </a:pPr>
          <a:r>
            <a:rPr lang="zh-CN" altLang="en-US" sz="1200" b="1">
              <a:solidFill>
                <a:srgbClr val="000000"/>
              </a:solidFill>
              <a:latin typeface="微软雅黑" panose="020B0503020204020204" pitchFamily="34" charset="-122"/>
              <a:ea typeface="微软雅黑" panose="020B0503020204020204" pitchFamily="34" charset="-122"/>
            </a:rPr>
            <a:t>结算规则：</a:t>
          </a:r>
          <a:r>
            <a:rPr lang="zh-CN" altLang="en-US" sz="1200" b="0">
              <a:solidFill>
                <a:srgbClr val="000000"/>
              </a:solidFill>
              <a:latin typeface="微软雅黑" panose="020B0503020204020204" pitchFamily="34" charset="-122"/>
              <a:ea typeface="微软雅黑" panose="020B0503020204020204" pitchFamily="34" charset="-122"/>
            </a:rPr>
            <a:t>不参与结算</a:t>
          </a:r>
          <a:endParaRPr lang="en-US" altLang="zh-CN" sz="1200" b="0">
            <a:solidFill>
              <a:srgbClr val="000000"/>
            </a:solidFill>
            <a:latin typeface="微软雅黑" panose="020B0503020204020204" pitchFamily="34" charset="-122"/>
            <a:ea typeface="微软雅黑" panose="020B0503020204020204" pitchFamily="34" charset="-122"/>
          </a:endParaRPr>
        </a:p>
      </xdr:txBody>
    </xdr:sp>
    <xdr:clientData/>
  </xdr:twoCellAnchor>
  <xdr:oneCellAnchor>
    <xdr:from>
      <xdr:col>0</xdr:col>
      <xdr:colOff>450215</xdr:colOff>
      <xdr:row>16</xdr:row>
      <xdr:rowOff>144780</xdr:rowOff>
    </xdr:from>
    <xdr:ext cx="7504430" cy="1037590"/>
    <xdr:sp macro="" textlink="">
      <xdr:nvSpPr>
        <xdr:cNvPr id="4" name="矩形 3"/>
        <xdr:cNvSpPr/>
      </xdr:nvSpPr>
      <xdr:spPr>
        <a:xfrm rot="19780304">
          <a:off x="450215" y="3408680"/>
          <a:ext cx="7504430" cy="1037590"/>
        </a:xfrm>
        <a:prstGeom prst="rect">
          <a:avLst/>
        </a:prstGeom>
        <a:noFill/>
        <a:effectLst/>
      </xdr:spPr>
      <xdr:txBody>
        <a:bodyPr wrap="square" lIns="91440" tIns="45720" rIns="91440" bIns="45720">
          <a:noAutofit/>
        </a:bodyPr>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a:r>
            <a:rPr lang="zh-CN" altLang="en-US" sz="3600" b="1" cap="none" spc="0">
              <a:ln w="12700">
                <a:noFill/>
                <a:prstDash val="solid"/>
              </a:ln>
              <a:solidFill>
                <a:schemeClr val="tx2">
                  <a:alpha val="33000"/>
                </a:schemeClr>
              </a:solidFill>
              <a:effectLst/>
            </a:rPr>
            <a:t>仅供中国移动内部使用</a:t>
          </a:r>
        </a:p>
      </xdr:txBody>
    </xdr:sp>
    <xdr:clientData/>
  </xdr:oneCellAnchor>
</xdr:wsDr>
</file>

<file path=xl/drawings/drawing8.xml><?xml version="1.0" encoding="utf-8"?>
<xdr:wsDr xmlns:xdr="http://schemas.openxmlformats.org/drawingml/2006/spreadsheetDrawing" xmlns:a="http://schemas.openxmlformats.org/drawingml/2006/main">
  <xdr:oneCellAnchor>
    <xdr:from>
      <xdr:col>2</xdr:col>
      <xdr:colOff>984885</xdr:colOff>
      <xdr:row>11</xdr:row>
      <xdr:rowOff>72390</xdr:rowOff>
    </xdr:from>
    <xdr:ext cx="7504430" cy="1013460"/>
    <xdr:sp macro="" textlink="">
      <xdr:nvSpPr>
        <xdr:cNvPr id="2" name="矩形 1"/>
        <xdr:cNvSpPr/>
      </xdr:nvSpPr>
      <xdr:spPr>
        <a:xfrm rot="19780304">
          <a:off x="2948940" y="2882265"/>
          <a:ext cx="7504430" cy="1013460"/>
        </a:xfrm>
        <a:prstGeom prst="rect">
          <a:avLst/>
        </a:prstGeom>
        <a:noFill/>
        <a:effectLst/>
      </xdr:spPr>
      <xdr:txBody>
        <a:bodyPr wrap="square" lIns="91440" tIns="45720" rIns="91440" bIns="45720">
          <a:noAutofit/>
        </a:bodyPr>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a:r>
            <a:rPr lang="zh-CN" altLang="en-US" sz="3600" b="1" cap="none" spc="0">
              <a:ln w="12700">
                <a:noFill/>
                <a:prstDash val="solid"/>
              </a:ln>
              <a:solidFill>
                <a:schemeClr val="tx2">
                  <a:alpha val="33000"/>
                </a:schemeClr>
              </a:solidFill>
              <a:effectLst/>
            </a:rPr>
            <a:t>仅供中国移动内部使用</a:t>
          </a:r>
        </a:p>
      </xdr:txBody>
    </xdr:sp>
    <xdr:clientData/>
  </xdr:oneCellAnchor>
  <xdr:oneCellAnchor>
    <xdr:from>
      <xdr:col>2</xdr:col>
      <xdr:colOff>984885</xdr:colOff>
      <xdr:row>11</xdr:row>
      <xdr:rowOff>72390</xdr:rowOff>
    </xdr:from>
    <xdr:ext cx="7504430" cy="1013460"/>
    <xdr:sp macro="" textlink="">
      <xdr:nvSpPr>
        <xdr:cNvPr id="3" name="矩形 2"/>
        <xdr:cNvSpPr/>
      </xdr:nvSpPr>
      <xdr:spPr>
        <a:xfrm rot="19780304">
          <a:off x="2948940" y="2882265"/>
          <a:ext cx="7504430" cy="1013460"/>
        </a:xfrm>
        <a:prstGeom prst="rect">
          <a:avLst/>
        </a:prstGeom>
        <a:noFill/>
        <a:effectLst/>
      </xdr:spPr>
      <xdr:txBody>
        <a:bodyPr wrap="square" lIns="91440" tIns="45720" rIns="91440" bIns="45720">
          <a:noAutofit/>
        </a:bodyPr>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a:r>
            <a:rPr lang="zh-CN" altLang="en-US" sz="3600" b="1" cap="none" spc="0">
              <a:ln w="12700">
                <a:noFill/>
                <a:prstDash val="solid"/>
              </a:ln>
              <a:solidFill>
                <a:schemeClr val="tx2">
                  <a:alpha val="33000"/>
                </a:schemeClr>
              </a:solidFill>
              <a:effectLst/>
            </a:rPr>
            <a:t>仅供中国移动内部使用</a:t>
          </a:r>
        </a:p>
      </xdr:txBody>
    </xdr:sp>
    <xdr:clientData/>
  </xdr:oneCellAnchor>
  <xdr:oneCellAnchor>
    <xdr:from>
      <xdr:col>2</xdr:col>
      <xdr:colOff>984885</xdr:colOff>
      <xdr:row>11</xdr:row>
      <xdr:rowOff>72390</xdr:rowOff>
    </xdr:from>
    <xdr:ext cx="7504430" cy="1013460"/>
    <xdr:sp macro="" textlink="">
      <xdr:nvSpPr>
        <xdr:cNvPr id="4" name="矩形 3"/>
        <xdr:cNvSpPr/>
      </xdr:nvSpPr>
      <xdr:spPr>
        <a:xfrm rot="19780304">
          <a:off x="2948940" y="2882265"/>
          <a:ext cx="7504430" cy="1013460"/>
        </a:xfrm>
        <a:prstGeom prst="rect">
          <a:avLst/>
        </a:prstGeom>
        <a:noFill/>
        <a:effectLst/>
      </xdr:spPr>
      <xdr:txBody>
        <a:bodyPr wrap="square" lIns="91440" tIns="45720" rIns="91440" bIns="45720">
          <a:noAutofit/>
        </a:bodyPr>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a:r>
            <a:rPr lang="zh-CN" altLang="en-US" sz="3600" b="1" cap="none" spc="0">
              <a:ln w="12700">
                <a:noFill/>
                <a:prstDash val="solid"/>
              </a:ln>
              <a:solidFill>
                <a:schemeClr val="tx2">
                  <a:alpha val="33000"/>
                </a:schemeClr>
              </a:solidFill>
              <a:effectLst/>
            </a:rPr>
            <a:t>仅供中国移动内部使用</a:t>
          </a:r>
        </a:p>
      </xdr:txBody>
    </xdr:sp>
    <xdr:clientData/>
  </xdr:oneCellAnchor>
  <xdr:twoCellAnchor>
    <xdr:from>
      <xdr:col>0</xdr:col>
      <xdr:colOff>6350</xdr:colOff>
      <xdr:row>14</xdr:row>
      <xdr:rowOff>0</xdr:rowOff>
    </xdr:from>
    <xdr:to>
      <xdr:col>10</xdr:col>
      <xdr:colOff>3810</xdr:colOff>
      <xdr:row>21</xdr:row>
      <xdr:rowOff>6350</xdr:rowOff>
    </xdr:to>
    <xdr:sp macro="" textlink="">
      <xdr:nvSpPr>
        <xdr:cNvPr id="5" name="矩形 4"/>
        <xdr:cNvSpPr/>
      </xdr:nvSpPr>
      <xdr:spPr>
        <a:xfrm>
          <a:off x="6350" y="4387850"/>
          <a:ext cx="10337800" cy="1250950"/>
        </a:xfrm>
        <a:prstGeom prst="rect">
          <a:avLst/>
        </a:prstGeom>
        <a:solidFill>
          <a:schemeClr val="bg2"/>
        </a:solidFill>
      </xdr:spPr>
      <xdr:txBody>
        <a:bodyPr wrap="square"/>
        <a:lstStyle>
          <a:defPPr>
            <a:defRPr lang="zh-CN"/>
          </a:defPPr>
          <a:lvl1pPr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1pPr>
          <a:lvl2pPr marL="457200"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2pPr>
          <a:lvl3pPr marL="914400"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3pPr>
          <a:lvl4pPr marL="1371600"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4pPr>
          <a:lvl5pPr marL="1828800"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5pPr>
          <a:lvl6pPr marL="2286000" algn="l" defTabSz="914400" rtl="0" eaLnBrk="1" latinLnBrk="0" hangingPunct="1">
            <a:defRPr kern="1200">
              <a:solidFill>
                <a:schemeClr val="tx1"/>
              </a:solidFill>
              <a:latin typeface="Arial" panose="020B0604020202020204" pitchFamily="7" charset="0"/>
              <a:ea typeface="宋体" panose="02010600030101010101" pitchFamily="7" charset="-122"/>
              <a:cs typeface="+mn-cs"/>
            </a:defRPr>
          </a:lvl6pPr>
          <a:lvl7pPr marL="2743200" algn="l" defTabSz="914400" rtl="0" eaLnBrk="1" latinLnBrk="0" hangingPunct="1">
            <a:defRPr kern="1200">
              <a:solidFill>
                <a:schemeClr val="tx1"/>
              </a:solidFill>
              <a:latin typeface="Arial" panose="020B0604020202020204" pitchFamily="7" charset="0"/>
              <a:ea typeface="宋体" panose="02010600030101010101" pitchFamily="7" charset="-122"/>
              <a:cs typeface="+mn-cs"/>
            </a:defRPr>
          </a:lvl7pPr>
          <a:lvl8pPr marL="3200400" algn="l" defTabSz="914400" rtl="0" eaLnBrk="1" latinLnBrk="0" hangingPunct="1">
            <a:defRPr kern="1200">
              <a:solidFill>
                <a:schemeClr val="tx1"/>
              </a:solidFill>
              <a:latin typeface="Arial" panose="020B0604020202020204" pitchFamily="7" charset="0"/>
              <a:ea typeface="宋体" panose="02010600030101010101" pitchFamily="7" charset="-122"/>
              <a:cs typeface="+mn-cs"/>
            </a:defRPr>
          </a:lvl8pPr>
          <a:lvl9pPr marL="3657600" algn="l" defTabSz="914400" rtl="0" eaLnBrk="1" latinLnBrk="0" hangingPunct="1">
            <a:defRPr kern="1200">
              <a:solidFill>
                <a:schemeClr val="tx1"/>
              </a:solidFill>
              <a:latin typeface="Arial" panose="020B0604020202020204" pitchFamily="7" charset="0"/>
              <a:ea typeface="宋体" panose="02010600030101010101" pitchFamily="7" charset="-122"/>
              <a:cs typeface="+mn-cs"/>
            </a:defRPr>
          </a:lvl9pPr>
        </a:lstStyle>
        <a:p>
          <a:pPr marL="467995" indent="-457200">
            <a:lnSpc>
              <a:spcPct val="120000"/>
            </a:lnSpc>
            <a:buFont typeface="Wingdings" panose="05000000000000000000" pitchFamily="2" charset="2"/>
            <a:buChar char="p"/>
          </a:pPr>
          <a:r>
            <a:rPr lang="zh-CN" altLang="zh-CN" sz="1200" b="1">
              <a:solidFill>
                <a:srgbClr val="000000"/>
              </a:solidFill>
              <a:latin typeface="微软雅黑" panose="020B0503020204020204" pitchFamily="34" charset="-122"/>
              <a:ea typeface="微软雅黑" panose="020B0503020204020204" pitchFamily="34" charset="-122"/>
            </a:rPr>
            <a:t>如突破底线折扣，根据项目实际效益进行以下决策：</a:t>
          </a:r>
        </a:p>
        <a:p>
          <a:pPr marL="10795" indent="0">
            <a:lnSpc>
              <a:spcPct val="120000"/>
            </a:lnSpc>
            <a:buFont typeface="Wingdings" panose="05000000000000000000" pitchFamily="2" charset="2"/>
            <a:buNone/>
          </a:pPr>
          <a:r>
            <a:rPr lang="en-US" altLang="zh-CN" sz="1200">
              <a:solidFill>
                <a:srgbClr val="000000"/>
              </a:solidFill>
              <a:latin typeface="微软雅黑" panose="020B0503020204020204" pitchFamily="34" charset="-122"/>
              <a:ea typeface="微软雅黑" panose="020B0503020204020204" pitchFamily="34" charset="-122"/>
            </a:rPr>
            <a:t>          </a:t>
          </a:r>
          <a:r>
            <a:rPr lang="zh-CN" altLang="zh-CN" sz="1200">
              <a:solidFill>
                <a:srgbClr val="000000"/>
              </a:solidFill>
              <a:latin typeface="微软雅黑" panose="020B0503020204020204" pitchFamily="34" charset="-122"/>
              <a:ea typeface="微软雅黑" panose="020B0503020204020204" pitchFamily="34" charset="-122"/>
            </a:rPr>
            <a:t>1）低于最低折扣，但满足省内ICT管理要求的项目，根据省内ICT项目管理要求审批。</a:t>
          </a:r>
        </a:p>
        <a:p>
          <a:pPr marL="10795" indent="0">
            <a:lnSpc>
              <a:spcPct val="120000"/>
            </a:lnSpc>
            <a:buFont typeface="Wingdings" panose="05000000000000000000" pitchFamily="2" charset="2"/>
            <a:buNone/>
          </a:pPr>
          <a:r>
            <a:rPr lang="en-US" altLang="zh-CN" sz="1200">
              <a:solidFill>
                <a:srgbClr val="000000"/>
              </a:solidFill>
              <a:latin typeface="微软雅黑" panose="020B0503020204020204" pitchFamily="34" charset="-122"/>
              <a:ea typeface="微软雅黑" panose="020B0503020204020204" pitchFamily="34" charset="-122"/>
            </a:rPr>
            <a:t>          </a:t>
          </a:r>
          <a:r>
            <a:rPr lang="zh-CN" altLang="zh-CN" sz="1200">
              <a:solidFill>
                <a:srgbClr val="000000"/>
              </a:solidFill>
              <a:latin typeface="微软雅黑" panose="020B0503020204020204" pitchFamily="34" charset="-122"/>
              <a:ea typeface="微软雅黑" panose="020B0503020204020204" pitchFamily="34" charset="-122"/>
            </a:rPr>
            <a:t>2）低于最低折扣，且不满足省内ICT管理要求的项目，严格管控，各省审批通过后，报集团审批。</a:t>
          </a:r>
          <a:endParaRPr lang="zh-CN" altLang="zh-CN" sz="1200" b="1">
            <a:solidFill>
              <a:srgbClr val="000000"/>
            </a:solidFill>
            <a:latin typeface="微软雅黑" panose="020B0503020204020204" pitchFamily="34" charset="-122"/>
            <a:ea typeface="微软雅黑" panose="020B0503020204020204" pitchFamily="34" charset="-122"/>
          </a:endParaRPr>
        </a:p>
        <a:p>
          <a:pPr marL="467995" indent="-457200">
            <a:lnSpc>
              <a:spcPct val="120000"/>
            </a:lnSpc>
            <a:buFont typeface="Wingdings" panose="05000000000000000000" pitchFamily="2" charset="2"/>
            <a:buChar char="p"/>
          </a:pPr>
          <a:r>
            <a:rPr lang="zh-CN" altLang="zh-CN" sz="1200" b="1">
              <a:solidFill>
                <a:srgbClr val="000000"/>
              </a:solidFill>
              <a:latin typeface="微软雅黑" panose="020B0503020204020204" pitchFamily="34" charset="-122"/>
              <a:ea typeface="微软雅黑" panose="020B0503020204020204" pitchFamily="34" charset="-122"/>
            </a:rPr>
            <a:t>双域专网折扣：</a:t>
          </a:r>
          <a:r>
            <a:rPr kumimoji="0" lang="zh-CN" altLang="en-US" sz="1200" i="0" u="none" strike="noStrike" kern="1200" cap="none" spc="0" normalizeH="0" baseline="0" dirty="0">
              <a:latin typeface="微软雅黑" panose="020B0503020204020204" pitchFamily="34" charset="-122"/>
              <a:ea typeface="微软雅黑" panose="020B0503020204020204" pitchFamily="34" charset="-122"/>
              <a:cs typeface="微软雅黑" panose="020B0503020204020204" pitchFamily="34" charset="-122"/>
            </a:rPr>
            <a:t>针对收取流量费且流量费不低于底线价格的双域专网项目，A3本地业务保障折扣可最低至0折，由各省自行把控，除此之外最低折扣至3折。</a:t>
          </a:r>
          <a:endParaRPr lang="zh-CN" altLang="en-US" sz="1200" dirty="0">
            <a:latin typeface="微软雅黑" panose="020B0503020204020204" pitchFamily="34" charset="-122"/>
            <a:ea typeface="微软雅黑" panose="020B0503020204020204" pitchFamily="34" charset="-122"/>
            <a:cs typeface="微软雅黑" panose="020B0503020204020204" pitchFamily="34" charset="-122"/>
          </a:endParaRPr>
        </a:p>
      </xdr:txBody>
    </xdr:sp>
    <xdr:clientData/>
  </xdr:twoCellAnchor>
  <xdr:twoCellAnchor>
    <xdr:from>
      <xdr:col>0</xdr:col>
      <xdr:colOff>6350</xdr:colOff>
      <xdr:row>46</xdr:row>
      <xdr:rowOff>0</xdr:rowOff>
    </xdr:from>
    <xdr:to>
      <xdr:col>16</xdr:col>
      <xdr:colOff>19050</xdr:colOff>
      <xdr:row>50</xdr:row>
      <xdr:rowOff>132715</xdr:rowOff>
    </xdr:to>
    <xdr:sp macro="" textlink="">
      <xdr:nvSpPr>
        <xdr:cNvPr id="6" name="矩形 5"/>
        <xdr:cNvSpPr/>
      </xdr:nvSpPr>
      <xdr:spPr>
        <a:xfrm>
          <a:off x="6350" y="11190605"/>
          <a:ext cx="17135475" cy="843915"/>
        </a:xfrm>
        <a:prstGeom prst="rect">
          <a:avLst/>
        </a:prstGeom>
        <a:solidFill>
          <a:schemeClr val="bg2"/>
        </a:solidFill>
      </xdr:spPr>
      <xdr:txBody>
        <a:bodyPr wrap="square"/>
        <a:lstStyle>
          <a:defPPr>
            <a:defRPr lang="zh-CN"/>
          </a:defPPr>
          <a:lvl1pPr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1pPr>
          <a:lvl2pPr marL="457200"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2pPr>
          <a:lvl3pPr marL="914400"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3pPr>
          <a:lvl4pPr marL="1371600"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4pPr>
          <a:lvl5pPr marL="1828800"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5pPr>
          <a:lvl6pPr marL="2286000" algn="l" defTabSz="914400" rtl="0" eaLnBrk="1" latinLnBrk="0" hangingPunct="1">
            <a:defRPr kern="1200">
              <a:solidFill>
                <a:schemeClr val="tx1"/>
              </a:solidFill>
              <a:latin typeface="Arial" panose="020B0604020202020204" pitchFamily="7" charset="0"/>
              <a:ea typeface="宋体" panose="02010600030101010101" pitchFamily="7" charset="-122"/>
              <a:cs typeface="+mn-cs"/>
            </a:defRPr>
          </a:lvl6pPr>
          <a:lvl7pPr marL="2743200" algn="l" defTabSz="914400" rtl="0" eaLnBrk="1" latinLnBrk="0" hangingPunct="1">
            <a:defRPr kern="1200">
              <a:solidFill>
                <a:schemeClr val="tx1"/>
              </a:solidFill>
              <a:latin typeface="Arial" panose="020B0604020202020204" pitchFamily="7" charset="0"/>
              <a:ea typeface="宋体" panose="02010600030101010101" pitchFamily="7" charset="-122"/>
              <a:cs typeface="+mn-cs"/>
            </a:defRPr>
          </a:lvl7pPr>
          <a:lvl8pPr marL="3200400" algn="l" defTabSz="914400" rtl="0" eaLnBrk="1" latinLnBrk="0" hangingPunct="1">
            <a:defRPr kern="1200">
              <a:solidFill>
                <a:schemeClr val="tx1"/>
              </a:solidFill>
              <a:latin typeface="Arial" panose="020B0604020202020204" pitchFamily="7" charset="0"/>
              <a:ea typeface="宋体" panose="02010600030101010101" pitchFamily="7" charset="-122"/>
              <a:cs typeface="+mn-cs"/>
            </a:defRPr>
          </a:lvl8pPr>
          <a:lvl9pPr marL="3657600" algn="l" defTabSz="914400" rtl="0" eaLnBrk="1" latinLnBrk="0" hangingPunct="1">
            <a:defRPr kern="1200">
              <a:solidFill>
                <a:schemeClr val="tx1"/>
              </a:solidFill>
              <a:latin typeface="Arial" panose="020B0604020202020204" pitchFamily="7" charset="0"/>
              <a:ea typeface="宋体" panose="02010600030101010101" pitchFamily="7" charset="-122"/>
              <a:cs typeface="+mn-cs"/>
            </a:defRPr>
          </a:lvl9pPr>
        </a:lstStyle>
        <a:p>
          <a:pPr marL="467995" indent="-457200">
            <a:lnSpc>
              <a:spcPct val="120000"/>
            </a:lnSpc>
            <a:buFont typeface="Wingdings" panose="05000000000000000000" pitchFamily="2" charset="2"/>
            <a:buChar char="p"/>
          </a:pPr>
          <a:r>
            <a:rPr lang="zh-CN" altLang="zh-CN" sz="1200" b="1">
              <a:solidFill>
                <a:srgbClr val="000000"/>
              </a:solidFill>
              <a:latin typeface="微软雅黑" panose="020B0503020204020204" pitchFamily="34" charset="-122"/>
              <a:ea typeface="微软雅黑" panose="020B0503020204020204" pitchFamily="34" charset="-122"/>
              <a:sym typeface="+mn-ea"/>
            </a:rPr>
            <a:t>如突破底线折扣，根据项目实际效益进行以下决策：</a:t>
          </a:r>
          <a:endParaRPr lang="zh-CN" altLang="en-US" sz="1200" dirty="0">
            <a:latin typeface="微软雅黑" panose="020B0503020204020204" pitchFamily="34" charset="-122"/>
            <a:ea typeface="微软雅黑" panose="020B0503020204020204" pitchFamily="34" charset="-122"/>
            <a:cs typeface="微软雅黑" panose="020B0503020204020204" pitchFamily="34" charset="-122"/>
          </a:endParaRPr>
        </a:p>
        <a:p>
          <a:pPr marL="10795" indent="0">
            <a:lnSpc>
              <a:spcPct val="120000"/>
            </a:lnSpc>
            <a:buFont typeface="Wingdings" panose="05000000000000000000" pitchFamily="2" charset="2"/>
            <a:buNone/>
          </a:pPr>
          <a:r>
            <a:rPr lang="en-US" altLang="zh-CN" sz="1200" dirty="0">
              <a:latin typeface="微软雅黑" panose="020B0503020204020204" pitchFamily="34" charset="-122"/>
              <a:ea typeface="微软雅黑" panose="020B0503020204020204" pitchFamily="34" charset="-122"/>
              <a:cs typeface="微软雅黑" panose="020B0503020204020204" pitchFamily="34" charset="-122"/>
            </a:rPr>
            <a:t>          </a:t>
          </a:r>
          <a:r>
            <a:rPr lang="zh-CN" altLang="en-US" sz="1200" dirty="0">
              <a:latin typeface="微软雅黑" panose="020B0503020204020204" pitchFamily="34" charset="-122"/>
              <a:ea typeface="微软雅黑" panose="020B0503020204020204" pitchFamily="34" charset="-122"/>
              <a:cs typeface="微软雅黑" panose="020B0503020204020204" pitchFamily="34" charset="-122"/>
            </a:rPr>
            <a:t>1）低于最低折扣，但满足省内ICT管理要求的项目，根据省内ICT项目管理要求审批。</a:t>
          </a:r>
        </a:p>
        <a:p>
          <a:pPr marL="10795" indent="0">
            <a:lnSpc>
              <a:spcPct val="120000"/>
            </a:lnSpc>
            <a:buFont typeface="Wingdings" panose="05000000000000000000" pitchFamily="2" charset="2"/>
            <a:buNone/>
          </a:pPr>
          <a:r>
            <a:rPr lang="en-US" altLang="zh-CN" sz="1200" dirty="0">
              <a:latin typeface="微软雅黑" panose="020B0503020204020204" pitchFamily="34" charset="-122"/>
              <a:ea typeface="微软雅黑" panose="020B0503020204020204" pitchFamily="34" charset="-122"/>
              <a:cs typeface="微软雅黑" panose="020B0503020204020204" pitchFamily="34" charset="-122"/>
            </a:rPr>
            <a:t>          </a:t>
          </a:r>
          <a:r>
            <a:rPr lang="zh-CN" altLang="en-US" sz="1200" dirty="0">
              <a:latin typeface="微软雅黑" panose="020B0503020204020204" pitchFamily="34" charset="-122"/>
              <a:ea typeface="微软雅黑" panose="020B0503020204020204" pitchFamily="34" charset="-122"/>
              <a:cs typeface="微软雅黑" panose="020B0503020204020204" pitchFamily="34" charset="-122"/>
            </a:rPr>
            <a:t>2）低于最低折扣，且不满足省内ICT管理要求的项目，严格管控，各省审批通过后，报集团审批。</a:t>
          </a:r>
        </a:p>
      </xdr:txBody>
    </xdr:sp>
    <xdr:clientData/>
  </xdr:twoCellAnchor>
  <xdr:twoCellAnchor>
    <xdr:from>
      <xdr:col>0</xdr:col>
      <xdr:colOff>1270</xdr:colOff>
      <xdr:row>76</xdr:row>
      <xdr:rowOff>3810</xdr:rowOff>
    </xdr:from>
    <xdr:to>
      <xdr:col>16</xdr:col>
      <xdr:colOff>12700</xdr:colOff>
      <xdr:row>80</xdr:row>
      <xdr:rowOff>136525</xdr:rowOff>
    </xdr:to>
    <xdr:sp macro="" textlink="">
      <xdr:nvSpPr>
        <xdr:cNvPr id="7" name="矩形 6"/>
        <xdr:cNvSpPr/>
      </xdr:nvSpPr>
      <xdr:spPr>
        <a:xfrm>
          <a:off x="1270" y="17842865"/>
          <a:ext cx="17134205" cy="843915"/>
        </a:xfrm>
        <a:prstGeom prst="rect">
          <a:avLst/>
        </a:prstGeom>
        <a:solidFill>
          <a:schemeClr val="bg2"/>
        </a:solidFill>
      </xdr:spPr>
      <xdr:txBody>
        <a:bodyPr wrap="square"/>
        <a:lstStyle>
          <a:defPPr>
            <a:defRPr lang="zh-CN"/>
          </a:defPPr>
          <a:lvl1pPr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1pPr>
          <a:lvl2pPr marL="457200"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2pPr>
          <a:lvl3pPr marL="914400"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3pPr>
          <a:lvl4pPr marL="1371600"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4pPr>
          <a:lvl5pPr marL="1828800"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5pPr>
          <a:lvl6pPr marL="2286000" algn="l" defTabSz="914400" rtl="0" eaLnBrk="1" latinLnBrk="0" hangingPunct="1">
            <a:defRPr kern="1200">
              <a:solidFill>
                <a:schemeClr val="tx1"/>
              </a:solidFill>
              <a:latin typeface="Arial" panose="020B0604020202020204" pitchFamily="7" charset="0"/>
              <a:ea typeface="宋体" panose="02010600030101010101" pitchFamily="7" charset="-122"/>
              <a:cs typeface="+mn-cs"/>
            </a:defRPr>
          </a:lvl6pPr>
          <a:lvl7pPr marL="2743200" algn="l" defTabSz="914400" rtl="0" eaLnBrk="1" latinLnBrk="0" hangingPunct="1">
            <a:defRPr kern="1200">
              <a:solidFill>
                <a:schemeClr val="tx1"/>
              </a:solidFill>
              <a:latin typeface="Arial" panose="020B0604020202020204" pitchFamily="7" charset="0"/>
              <a:ea typeface="宋体" panose="02010600030101010101" pitchFamily="7" charset="-122"/>
              <a:cs typeface="+mn-cs"/>
            </a:defRPr>
          </a:lvl7pPr>
          <a:lvl8pPr marL="3200400" algn="l" defTabSz="914400" rtl="0" eaLnBrk="1" latinLnBrk="0" hangingPunct="1">
            <a:defRPr kern="1200">
              <a:solidFill>
                <a:schemeClr val="tx1"/>
              </a:solidFill>
              <a:latin typeface="Arial" panose="020B0604020202020204" pitchFamily="7" charset="0"/>
              <a:ea typeface="宋体" panose="02010600030101010101" pitchFamily="7" charset="-122"/>
              <a:cs typeface="+mn-cs"/>
            </a:defRPr>
          </a:lvl8pPr>
          <a:lvl9pPr marL="3657600" algn="l" defTabSz="914400" rtl="0" eaLnBrk="1" latinLnBrk="0" hangingPunct="1">
            <a:defRPr kern="1200">
              <a:solidFill>
                <a:schemeClr val="tx1"/>
              </a:solidFill>
              <a:latin typeface="Arial" panose="020B0604020202020204" pitchFamily="7" charset="0"/>
              <a:ea typeface="宋体" panose="02010600030101010101" pitchFamily="7" charset="-122"/>
              <a:cs typeface="+mn-cs"/>
            </a:defRPr>
          </a:lvl9pPr>
        </a:lstStyle>
        <a:p>
          <a:pPr marL="467995" indent="-457200">
            <a:lnSpc>
              <a:spcPct val="120000"/>
            </a:lnSpc>
            <a:buFont typeface="Wingdings" panose="05000000000000000000" pitchFamily="2" charset="2"/>
            <a:buChar char="p"/>
          </a:pPr>
          <a:r>
            <a:rPr lang="zh-CN" altLang="zh-CN" sz="1200" b="1">
              <a:solidFill>
                <a:srgbClr val="000000"/>
              </a:solidFill>
              <a:latin typeface="微软雅黑" panose="020B0503020204020204" pitchFamily="34" charset="-122"/>
              <a:ea typeface="微软雅黑" panose="020B0503020204020204" pitchFamily="34" charset="-122"/>
              <a:sym typeface="+mn-ea"/>
            </a:rPr>
            <a:t>如突破底线折扣，根据项目实际效益进行以下决策：</a:t>
          </a:r>
          <a:endParaRPr lang="zh-CN" altLang="en-US" sz="1200" dirty="0">
            <a:latin typeface="微软雅黑" panose="020B0503020204020204" pitchFamily="34" charset="-122"/>
            <a:ea typeface="微软雅黑" panose="020B0503020204020204" pitchFamily="34" charset="-122"/>
            <a:cs typeface="微软雅黑" panose="020B0503020204020204" pitchFamily="34" charset="-122"/>
          </a:endParaRPr>
        </a:p>
        <a:p>
          <a:pPr marL="10795" indent="0">
            <a:lnSpc>
              <a:spcPct val="120000"/>
            </a:lnSpc>
            <a:buFont typeface="Wingdings" panose="05000000000000000000" pitchFamily="2" charset="2"/>
            <a:buNone/>
          </a:pPr>
          <a:r>
            <a:rPr lang="en-US" altLang="zh-CN" sz="1200" dirty="0">
              <a:latin typeface="微软雅黑" panose="020B0503020204020204" pitchFamily="34" charset="-122"/>
              <a:ea typeface="微软雅黑" panose="020B0503020204020204" pitchFamily="34" charset="-122"/>
              <a:cs typeface="微软雅黑" panose="020B0503020204020204" pitchFamily="34" charset="-122"/>
            </a:rPr>
            <a:t>          </a:t>
          </a:r>
          <a:r>
            <a:rPr lang="zh-CN" altLang="en-US" sz="1200" dirty="0">
              <a:latin typeface="微软雅黑" panose="020B0503020204020204" pitchFamily="34" charset="-122"/>
              <a:ea typeface="微软雅黑" panose="020B0503020204020204" pitchFamily="34" charset="-122"/>
              <a:cs typeface="微软雅黑" panose="020B0503020204020204" pitchFamily="34" charset="-122"/>
            </a:rPr>
            <a:t>1）低于最低折扣，但满足省内ICT管理要求的项目，根据省内ICT项目管理要求审批。</a:t>
          </a:r>
        </a:p>
        <a:p>
          <a:pPr marL="10795" indent="0">
            <a:lnSpc>
              <a:spcPct val="120000"/>
            </a:lnSpc>
            <a:buFont typeface="Wingdings" panose="05000000000000000000" pitchFamily="2" charset="2"/>
            <a:buNone/>
          </a:pPr>
          <a:r>
            <a:rPr lang="en-US" altLang="zh-CN" sz="1200" dirty="0">
              <a:latin typeface="微软雅黑" panose="020B0503020204020204" pitchFamily="34" charset="-122"/>
              <a:ea typeface="微软雅黑" panose="020B0503020204020204" pitchFamily="34" charset="-122"/>
              <a:cs typeface="微软雅黑" panose="020B0503020204020204" pitchFamily="34" charset="-122"/>
            </a:rPr>
            <a:t>          </a:t>
          </a:r>
          <a:r>
            <a:rPr lang="zh-CN" altLang="en-US" sz="1200" dirty="0">
              <a:latin typeface="微软雅黑" panose="020B0503020204020204" pitchFamily="34" charset="-122"/>
              <a:ea typeface="微软雅黑" panose="020B0503020204020204" pitchFamily="34" charset="-122"/>
              <a:cs typeface="微软雅黑" panose="020B0503020204020204" pitchFamily="34" charset="-122"/>
            </a:rPr>
            <a:t>2）低于最低折扣，且不满足省内ICT管理要求的项目，严格管控，各省审批通过后，报集团审批。</a:t>
          </a:r>
        </a:p>
      </xdr:txBody>
    </xdr:sp>
    <xdr:clientData/>
  </xdr:twoCellAnchor>
  <xdr:twoCellAnchor>
    <xdr:from>
      <xdr:col>0</xdr:col>
      <xdr:colOff>6350</xdr:colOff>
      <xdr:row>98</xdr:row>
      <xdr:rowOff>278130</xdr:rowOff>
    </xdr:from>
    <xdr:to>
      <xdr:col>15</xdr:col>
      <xdr:colOff>3810</xdr:colOff>
      <xdr:row>103</xdr:row>
      <xdr:rowOff>131445</xdr:rowOff>
    </xdr:to>
    <xdr:sp macro="" textlink="">
      <xdr:nvSpPr>
        <xdr:cNvPr id="8" name="矩形 7"/>
        <xdr:cNvSpPr/>
      </xdr:nvSpPr>
      <xdr:spPr>
        <a:xfrm>
          <a:off x="6350" y="22209760"/>
          <a:ext cx="15911830" cy="843915"/>
        </a:xfrm>
        <a:prstGeom prst="rect">
          <a:avLst/>
        </a:prstGeom>
        <a:solidFill>
          <a:schemeClr val="bg2"/>
        </a:solidFill>
      </xdr:spPr>
      <xdr:txBody>
        <a:bodyPr wrap="square"/>
        <a:lstStyle>
          <a:defPPr>
            <a:defRPr lang="zh-CN"/>
          </a:defPPr>
          <a:lvl1pPr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1pPr>
          <a:lvl2pPr marL="457200"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2pPr>
          <a:lvl3pPr marL="914400"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3pPr>
          <a:lvl4pPr marL="1371600"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4pPr>
          <a:lvl5pPr marL="1828800"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5pPr>
          <a:lvl6pPr marL="2286000" algn="l" defTabSz="914400" rtl="0" eaLnBrk="1" latinLnBrk="0" hangingPunct="1">
            <a:defRPr kern="1200">
              <a:solidFill>
                <a:schemeClr val="tx1"/>
              </a:solidFill>
              <a:latin typeface="Arial" panose="020B0604020202020204" pitchFamily="7" charset="0"/>
              <a:ea typeface="宋体" panose="02010600030101010101" pitchFamily="7" charset="-122"/>
              <a:cs typeface="+mn-cs"/>
            </a:defRPr>
          </a:lvl6pPr>
          <a:lvl7pPr marL="2743200" algn="l" defTabSz="914400" rtl="0" eaLnBrk="1" latinLnBrk="0" hangingPunct="1">
            <a:defRPr kern="1200">
              <a:solidFill>
                <a:schemeClr val="tx1"/>
              </a:solidFill>
              <a:latin typeface="Arial" panose="020B0604020202020204" pitchFamily="7" charset="0"/>
              <a:ea typeface="宋体" panose="02010600030101010101" pitchFamily="7" charset="-122"/>
              <a:cs typeface="+mn-cs"/>
            </a:defRPr>
          </a:lvl7pPr>
          <a:lvl8pPr marL="3200400" algn="l" defTabSz="914400" rtl="0" eaLnBrk="1" latinLnBrk="0" hangingPunct="1">
            <a:defRPr kern="1200">
              <a:solidFill>
                <a:schemeClr val="tx1"/>
              </a:solidFill>
              <a:latin typeface="Arial" panose="020B0604020202020204" pitchFamily="7" charset="0"/>
              <a:ea typeface="宋体" panose="02010600030101010101" pitchFamily="7" charset="-122"/>
              <a:cs typeface="+mn-cs"/>
            </a:defRPr>
          </a:lvl8pPr>
          <a:lvl9pPr marL="3657600" algn="l" defTabSz="914400" rtl="0" eaLnBrk="1" latinLnBrk="0" hangingPunct="1">
            <a:defRPr kern="1200">
              <a:solidFill>
                <a:schemeClr val="tx1"/>
              </a:solidFill>
              <a:latin typeface="Arial" panose="020B0604020202020204" pitchFamily="7" charset="0"/>
              <a:ea typeface="宋体" panose="02010600030101010101" pitchFamily="7" charset="-122"/>
              <a:cs typeface="+mn-cs"/>
            </a:defRPr>
          </a:lvl9pPr>
        </a:lstStyle>
        <a:p>
          <a:pPr marL="467995" indent="-457200">
            <a:lnSpc>
              <a:spcPct val="120000"/>
            </a:lnSpc>
            <a:buFont typeface="Wingdings" panose="05000000000000000000" pitchFamily="2" charset="2"/>
            <a:buChar char="p"/>
          </a:pPr>
          <a:r>
            <a:rPr lang="zh-CN" altLang="zh-CN" sz="1200" b="1">
              <a:solidFill>
                <a:srgbClr val="000000"/>
              </a:solidFill>
              <a:latin typeface="微软雅黑" panose="020B0503020204020204" pitchFamily="34" charset="-122"/>
              <a:ea typeface="微软雅黑" panose="020B0503020204020204" pitchFamily="34" charset="-122"/>
              <a:sym typeface="+mn-ea"/>
            </a:rPr>
            <a:t>如突破底线折扣，根据项目实际效益进行以下决策：</a:t>
          </a:r>
          <a:endParaRPr lang="zh-CN" altLang="en-US" sz="1200" dirty="0">
            <a:latin typeface="微软雅黑" panose="020B0503020204020204" pitchFamily="34" charset="-122"/>
            <a:ea typeface="微软雅黑" panose="020B0503020204020204" pitchFamily="34" charset="-122"/>
            <a:cs typeface="微软雅黑" panose="020B0503020204020204" pitchFamily="34" charset="-122"/>
          </a:endParaRPr>
        </a:p>
        <a:p>
          <a:pPr marL="10795" indent="0">
            <a:lnSpc>
              <a:spcPct val="120000"/>
            </a:lnSpc>
            <a:buFont typeface="Wingdings" panose="05000000000000000000" pitchFamily="2" charset="2"/>
            <a:buNone/>
          </a:pPr>
          <a:r>
            <a:rPr lang="en-US" altLang="zh-CN" sz="1200" dirty="0">
              <a:latin typeface="微软雅黑" panose="020B0503020204020204" pitchFamily="34" charset="-122"/>
              <a:ea typeface="微软雅黑" panose="020B0503020204020204" pitchFamily="34" charset="-122"/>
              <a:cs typeface="微软雅黑" panose="020B0503020204020204" pitchFamily="34" charset="-122"/>
            </a:rPr>
            <a:t>          </a:t>
          </a:r>
          <a:r>
            <a:rPr lang="zh-CN" altLang="en-US" sz="1200" dirty="0">
              <a:latin typeface="微软雅黑" panose="020B0503020204020204" pitchFamily="34" charset="-122"/>
              <a:ea typeface="微软雅黑" panose="020B0503020204020204" pitchFamily="34" charset="-122"/>
              <a:cs typeface="微软雅黑" panose="020B0503020204020204" pitchFamily="34" charset="-122"/>
            </a:rPr>
            <a:t>1）低于最低折扣，但满足省内ICT管理要求的项目，根据省内ICT项目管理要求审批。</a:t>
          </a:r>
        </a:p>
        <a:p>
          <a:pPr marL="10795" indent="0">
            <a:lnSpc>
              <a:spcPct val="120000"/>
            </a:lnSpc>
            <a:buFont typeface="Wingdings" panose="05000000000000000000" pitchFamily="2" charset="2"/>
            <a:buNone/>
          </a:pPr>
          <a:r>
            <a:rPr lang="en-US" altLang="zh-CN" sz="1200" dirty="0">
              <a:latin typeface="微软雅黑" panose="020B0503020204020204" pitchFamily="34" charset="-122"/>
              <a:ea typeface="微软雅黑" panose="020B0503020204020204" pitchFamily="34" charset="-122"/>
              <a:cs typeface="微软雅黑" panose="020B0503020204020204" pitchFamily="34" charset="-122"/>
            </a:rPr>
            <a:t>          </a:t>
          </a:r>
          <a:r>
            <a:rPr lang="zh-CN" altLang="en-US" sz="1200" dirty="0">
              <a:latin typeface="微软雅黑" panose="020B0503020204020204" pitchFamily="34" charset="-122"/>
              <a:ea typeface="微软雅黑" panose="020B0503020204020204" pitchFamily="34" charset="-122"/>
              <a:cs typeface="微软雅黑" panose="020B0503020204020204" pitchFamily="34" charset="-122"/>
            </a:rPr>
            <a:t>2）低于最低折扣，且不满足省内ICT管理要求的项目，严格管控，各省审批通过后，报集团审批。</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7</xdr:col>
      <xdr:colOff>0</xdr:colOff>
      <xdr:row>5</xdr:row>
      <xdr:rowOff>0</xdr:rowOff>
    </xdr:from>
    <xdr:ext cx="7504430" cy="1024890"/>
    <xdr:sp macro="" textlink="">
      <xdr:nvSpPr>
        <xdr:cNvPr id="2" name="矩形 1"/>
        <xdr:cNvSpPr/>
      </xdr:nvSpPr>
      <xdr:spPr>
        <a:xfrm rot="19780304">
          <a:off x="6045200" y="3221990"/>
          <a:ext cx="7504430" cy="1024890"/>
        </a:xfrm>
        <a:prstGeom prst="rect">
          <a:avLst/>
        </a:prstGeom>
        <a:noFill/>
        <a:effectLst/>
      </xdr:spPr>
      <xdr:txBody>
        <a:bodyPr wrap="square" lIns="91440" tIns="45720" rIns="91440" bIns="45720">
          <a:noAutofit/>
        </a:bodyPr>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a:r>
            <a:rPr lang="zh-CN" altLang="en-US" sz="3600" b="1" cap="none" spc="0">
              <a:ln w="12700">
                <a:noFill/>
                <a:prstDash val="solid"/>
              </a:ln>
              <a:solidFill>
                <a:schemeClr val="tx2">
                  <a:alpha val="33000"/>
                </a:schemeClr>
              </a:solidFill>
              <a:effectLst/>
            </a:rPr>
            <a:t>仅供中国移动内部使用</a:t>
          </a:r>
        </a:p>
      </xdr:txBody>
    </xdr:sp>
    <xdr:clientData/>
  </xdr:oneCellAnchor>
  <xdr:oneCellAnchor>
    <xdr:from>
      <xdr:col>0</xdr:col>
      <xdr:colOff>0</xdr:colOff>
      <xdr:row>29</xdr:row>
      <xdr:rowOff>148590</xdr:rowOff>
    </xdr:from>
    <xdr:ext cx="7504430" cy="847090"/>
    <xdr:sp macro="" textlink="">
      <xdr:nvSpPr>
        <xdr:cNvPr id="4" name="矩形 3"/>
        <xdr:cNvSpPr/>
      </xdr:nvSpPr>
      <xdr:spPr>
        <a:xfrm rot="19780304">
          <a:off x="0" y="11731625"/>
          <a:ext cx="7504430" cy="847090"/>
        </a:xfrm>
        <a:prstGeom prst="rect">
          <a:avLst/>
        </a:prstGeom>
        <a:noFill/>
        <a:effectLst/>
      </xdr:spPr>
      <xdr:txBody>
        <a:bodyPr wrap="square" lIns="91440" tIns="45720" rIns="91440" bIns="45720">
          <a:noAutofit/>
        </a:bodyPr>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a:r>
            <a:rPr lang="zh-CN" altLang="en-US" sz="3600" b="1" cap="none" spc="0">
              <a:ln w="12700">
                <a:noFill/>
                <a:prstDash val="solid"/>
              </a:ln>
              <a:solidFill>
                <a:schemeClr val="tx2">
                  <a:alpha val="33000"/>
                </a:schemeClr>
              </a:solidFill>
              <a:effectLst/>
            </a:rPr>
            <a:t>仅供中国移动内部使用</a:t>
          </a:r>
        </a:p>
      </xdr:txBody>
    </xdr:sp>
    <xdr:clientData/>
  </xdr:oneCellAnchor>
  <xdr:oneCellAnchor>
    <xdr:from>
      <xdr:col>2</xdr:col>
      <xdr:colOff>0</xdr:colOff>
      <xdr:row>30</xdr:row>
      <xdr:rowOff>148590</xdr:rowOff>
    </xdr:from>
    <xdr:ext cx="7504430" cy="1079500"/>
    <xdr:sp macro="" textlink="">
      <xdr:nvSpPr>
        <xdr:cNvPr id="5" name="矩形 4"/>
        <xdr:cNvSpPr/>
      </xdr:nvSpPr>
      <xdr:spPr>
        <a:xfrm rot="19780304">
          <a:off x="1727200" y="12150725"/>
          <a:ext cx="7504430" cy="1079500"/>
        </a:xfrm>
        <a:prstGeom prst="rect">
          <a:avLst/>
        </a:prstGeom>
        <a:noFill/>
        <a:effectLst/>
      </xdr:spPr>
      <xdr:txBody>
        <a:bodyPr wrap="square" lIns="91440" tIns="45720" rIns="91440" bIns="45720">
          <a:noAutofit/>
        </a:bodyPr>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a:r>
            <a:rPr lang="zh-CN" altLang="en-US" sz="3600" b="1" cap="none" spc="0">
              <a:ln w="12700">
                <a:noFill/>
                <a:prstDash val="solid"/>
              </a:ln>
              <a:solidFill>
                <a:schemeClr val="tx2">
                  <a:alpha val="33000"/>
                </a:schemeClr>
              </a:solidFill>
              <a:effectLst/>
            </a:rPr>
            <a:t>仅供中国移动内部使用</a:t>
          </a:r>
        </a:p>
      </xdr:txBody>
    </xdr:sp>
    <xdr:clientData/>
  </xdr:oneCellAnchor>
</xdr:wsDr>
</file>

<file path=xl/drawings/drawing10.xml><?xml version="1.0" encoding="utf-8"?>
<xdr:wsDr xmlns:xdr="http://schemas.openxmlformats.org/drawingml/2006/spreadsheetDrawing" xmlns:a="http://schemas.openxmlformats.org/drawingml/2006/main">
  <xdr:oneCellAnchor>
    <xdr:from>
      <xdr:col>0</xdr:col>
      <xdr:colOff>0</xdr:colOff>
      <xdr:row>6</xdr:row>
      <xdr:rowOff>480060</xdr:rowOff>
    </xdr:from>
    <xdr:ext cx="8162925" cy="1021080"/>
    <xdr:sp macro="" textlink="">
      <xdr:nvSpPr>
        <xdr:cNvPr id="2" name="矩形 1"/>
        <xdr:cNvSpPr/>
      </xdr:nvSpPr>
      <xdr:spPr>
        <a:xfrm rot="20053740">
          <a:off x="0" y="2971800"/>
          <a:ext cx="8162925" cy="1021080"/>
        </a:xfrm>
        <a:prstGeom prst="rect">
          <a:avLst/>
        </a:prstGeom>
        <a:noFill/>
        <a:effectLst/>
      </xdr:spPr>
      <xdr:txBody>
        <a:bodyPr wrap="square" lIns="91440" tIns="45720" rIns="91440" bIns="45720">
          <a:noAutofit/>
        </a:bodyPr>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a:r>
            <a:rPr lang="zh-CN" altLang="en-US" sz="3600" b="1" cap="none" spc="0">
              <a:ln w="12700">
                <a:noFill/>
                <a:prstDash val="solid"/>
              </a:ln>
              <a:solidFill>
                <a:schemeClr val="tx2">
                  <a:alpha val="33000"/>
                </a:schemeClr>
              </a:solidFill>
              <a:effectLst/>
            </a:rPr>
            <a:t>仅供中国移动内部使用</a:t>
          </a:r>
        </a:p>
      </xdr:txBody>
    </xdr:sp>
    <xdr:clientData/>
  </xdr:oneCellAnchor>
</xdr:wsDr>
</file>

<file path=xl/drawings/drawing11.xml><?xml version="1.0" encoding="utf-8"?>
<xdr:wsDr xmlns:xdr="http://schemas.openxmlformats.org/drawingml/2006/spreadsheetDrawing" xmlns:a="http://schemas.openxmlformats.org/drawingml/2006/main">
  <xdr:oneCellAnchor>
    <xdr:from>
      <xdr:col>2</xdr:col>
      <xdr:colOff>929640</xdr:colOff>
      <xdr:row>8</xdr:row>
      <xdr:rowOff>1074420</xdr:rowOff>
    </xdr:from>
    <xdr:ext cx="7504430" cy="956310"/>
    <xdr:sp macro="" textlink="">
      <xdr:nvSpPr>
        <xdr:cNvPr id="2" name="矩形 1"/>
        <xdr:cNvSpPr/>
      </xdr:nvSpPr>
      <xdr:spPr>
        <a:xfrm rot="19780304">
          <a:off x="2783840" y="3202940"/>
          <a:ext cx="7504430" cy="956310"/>
        </a:xfrm>
        <a:prstGeom prst="rect">
          <a:avLst/>
        </a:prstGeom>
        <a:noFill/>
        <a:effectLst/>
      </xdr:spPr>
      <xdr:txBody>
        <a:bodyPr wrap="square" lIns="91440" tIns="45720" rIns="91440" bIns="45720">
          <a:noAutofit/>
        </a:bodyPr>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a:r>
            <a:rPr lang="zh-CN" altLang="en-US" sz="3600" b="1" cap="none" spc="0">
              <a:ln w="12700">
                <a:noFill/>
                <a:prstDash val="solid"/>
              </a:ln>
              <a:solidFill>
                <a:schemeClr val="tx2">
                  <a:alpha val="33000"/>
                </a:schemeClr>
              </a:solidFill>
              <a:effectLst/>
            </a:rPr>
            <a:t>仅供中国移动内部使用</a:t>
          </a:r>
        </a:p>
      </xdr:txBody>
    </xdr:sp>
    <xdr:clientData/>
  </xdr:oneCellAnchor>
</xdr:wsDr>
</file>

<file path=xl/drawings/drawing12.xml><?xml version="1.0" encoding="utf-8"?>
<xdr:wsDr xmlns:xdr="http://schemas.openxmlformats.org/drawingml/2006/spreadsheetDrawing" xmlns:a="http://schemas.openxmlformats.org/drawingml/2006/main">
  <xdr:oneCellAnchor>
    <xdr:from>
      <xdr:col>1</xdr:col>
      <xdr:colOff>1025525</xdr:colOff>
      <xdr:row>6</xdr:row>
      <xdr:rowOff>140970</xdr:rowOff>
    </xdr:from>
    <xdr:ext cx="7515085" cy="1031240"/>
    <xdr:sp macro="" textlink="">
      <xdr:nvSpPr>
        <xdr:cNvPr id="2" name="矩形 1"/>
        <xdr:cNvSpPr/>
      </xdr:nvSpPr>
      <xdr:spPr>
        <a:xfrm rot="19780304">
          <a:off x="1668780" y="1820545"/>
          <a:ext cx="7514590" cy="1031240"/>
        </a:xfrm>
        <a:prstGeom prst="rect">
          <a:avLst/>
        </a:prstGeom>
        <a:noFill/>
        <a:effectLst/>
      </xdr:spPr>
      <xdr:txBody>
        <a:bodyPr wrap="square" lIns="91440" tIns="45720" rIns="91440" bIns="45720" anchor="ctr">
          <a:noAutofit/>
        </a:bodyPr>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a:r>
            <a:rPr lang="zh-CN" altLang="en-US" sz="3600" b="1" cap="none" spc="0">
              <a:ln w="12700">
                <a:noFill/>
                <a:prstDash val="solid"/>
              </a:ln>
              <a:solidFill>
                <a:schemeClr val="tx2">
                  <a:alpha val="33000"/>
                </a:schemeClr>
              </a:solidFill>
              <a:effectLst/>
            </a:rPr>
            <a:t>仅供中国移动内部使用</a:t>
          </a:r>
        </a:p>
      </xdr:txBody>
    </xdr:sp>
    <xdr:clientData/>
  </xdr:oneCellAnchor>
  <xdr:oneCellAnchor>
    <xdr:from>
      <xdr:col>1</xdr:col>
      <xdr:colOff>314960</xdr:colOff>
      <xdr:row>13</xdr:row>
      <xdr:rowOff>155575</xdr:rowOff>
    </xdr:from>
    <xdr:ext cx="6081395" cy="1015365"/>
    <xdr:sp macro="" textlink="">
      <xdr:nvSpPr>
        <xdr:cNvPr id="4" name="矩形 3"/>
        <xdr:cNvSpPr/>
      </xdr:nvSpPr>
      <xdr:spPr>
        <a:xfrm rot="19780304">
          <a:off x="958215" y="5235575"/>
          <a:ext cx="6081395" cy="1015365"/>
        </a:xfrm>
        <a:prstGeom prst="rect">
          <a:avLst/>
        </a:prstGeom>
        <a:noFill/>
        <a:effectLst/>
      </xdr:spPr>
      <xdr:txBody>
        <a:bodyPr wrap="square" lIns="91440" tIns="45720" rIns="91440" bIns="45720">
          <a:noAutofit/>
        </a:bodyPr>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a:r>
            <a:rPr lang="zh-CN" altLang="en-US" sz="3600" b="1" cap="none" spc="0">
              <a:ln w="12700">
                <a:noFill/>
                <a:prstDash val="solid"/>
              </a:ln>
              <a:solidFill>
                <a:schemeClr val="tx2">
                  <a:alpha val="33000"/>
                </a:schemeClr>
              </a:solidFill>
              <a:effectLst/>
            </a:rPr>
            <a:t>仅供中国移动内部使用</a:t>
          </a:r>
        </a:p>
      </xdr:txBody>
    </xdr:sp>
    <xdr:clientData/>
  </xdr:oneCellAnchor>
  <xdr:oneCellAnchor>
    <xdr:from>
      <xdr:col>8</xdr:col>
      <xdr:colOff>99695</xdr:colOff>
      <xdr:row>28</xdr:row>
      <xdr:rowOff>20320</xdr:rowOff>
    </xdr:from>
    <xdr:ext cx="4839970" cy="1025525"/>
    <xdr:sp macro="" textlink="">
      <xdr:nvSpPr>
        <xdr:cNvPr id="5" name="矩形 4"/>
        <xdr:cNvSpPr/>
      </xdr:nvSpPr>
      <xdr:spPr>
        <a:xfrm rot="19780304">
          <a:off x="11355070" y="8719820"/>
          <a:ext cx="4839970" cy="1025525"/>
        </a:xfrm>
        <a:prstGeom prst="rect">
          <a:avLst/>
        </a:prstGeom>
        <a:noFill/>
        <a:effectLst/>
      </xdr:spPr>
      <xdr:txBody>
        <a:bodyPr wrap="square" lIns="91440" tIns="45720" rIns="91440" bIns="45720" anchor="ctr">
          <a:noAutofit/>
        </a:bodyPr>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a:r>
            <a:rPr lang="zh-CN" altLang="en-US" sz="3600" b="1" cap="none" spc="0">
              <a:ln w="12700">
                <a:noFill/>
                <a:prstDash val="solid"/>
              </a:ln>
              <a:solidFill>
                <a:schemeClr val="tx2">
                  <a:alpha val="33000"/>
                </a:schemeClr>
              </a:solidFill>
              <a:effectLst/>
            </a:rPr>
            <a:t>仅供中国移动内部使用</a:t>
          </a:r>
        </a:p>
      </xdr:txBody>
    </xdr:sp>
    <xdr:clientData/>
  </xdr:oneCellAnchor>
  <xdr:oneCellAnchor>
    <xdr:from>
      <xdr:col>6</xdr:col>
      <xdr:colOff>1388110</xdr:colOff>
      <xdr:row>9</xdr:row>
      <xdr:rowOff>150495</xdr:rowOff>
    </xdr:from>
    <xdr:ext cx="7515225" cy="1040765"/>
    <xdr:sp macro="" textlink="">
      <xdr:nvSpPr>
        <xdr:cNvPr id="7" name="矩形 6"/>
        <xdr:cNvSpPr/>
      </xdr:nvSpPr>
      <xdr:spPr>
        <a:xfrm rot="19780304">
          <a:off x="8744585" y="2458720"/>
          <a:ext cx="7515225" cy="1040765"/>
        </a:xfrm>
        <a:prstGeom prst="rect">
          <a:avLst/>
        </a:prstGeom>
        <a:noFill/>
        <a:effectLst/>
      </xdr:spPr>
      <xdr:txBody>
        <a:bodyPr wrap="square" lIns="91440" tIns="45720" rIns="91440" bIns="45720" anchor="ctr">
          <a:noAutofit/>
        </a:bodyPr>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a:r>
            <a:rPr lang="zh-CN" altLang="en-US" sz="3600" b="1" cap="none" spc="0">
              <a:ln w="12700">
                <a:noFill/>
                <a:prstDash val="solid"/>
              </a:ln>
              <a:solidFill>
                <a:schemeClr val="tx2">
                  <a:alpha val="33000"/>
                </a:schemeClr>
              </a:solidFill>
              <a:effectLst/>
            </a:rPr>
            <a:t>仅供中国移动内部使用</a:t>
          </a:r>
        </a:p>
      </xdr:txBody>
    </xdr:sp>
    <xdr:clientData/>
  </xdr:oneCellAnchor>
  <xdr:oneCellAnchor>
    <xdr:from>
      <xdr:col>4</xdr:col>
      <xdr:colOff>294640</xdr:colOff>
      <xdr:row>28</xdr:row>
      <xdr:rowOff>17780</xdr:rowOff>
    </xdr:from>
    <xdr:ext cx="7504430" cy="1013460"/>
    <xdr:sp macro="" textlink="">
      <xdr:nvSpPr>
        <xdr:cNvPr id="9" name="矩形 8"/>
        <xdr:cNvSpPr/>
      </xdr:nvSpPr>
      <xdr:spPr>
        <a:xfrm rot="19780304">
          <a:off x="5488305" y="8717280"/>
          <a:ext cx="7504430" cy="1013460"/>
        </a:xfrm>
        <a:prstGeom prst="rect">
          <a:avLst/>
        </a:prstGeom>
        <a:noFill/>
        <a:effectLst/>
      </xdr:spPr>
      <xdr:txBody>
        <a:bodyPr wrap="square" lIns="91440" tIns="45720" rIns="91440" bIns="45720">
          <a:noAutofit/>
        </a:bodyPr>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a:r>
            <a:rPr lang="zh-CN" altLang="en-US" sz="3600" b="1" cap="none" spc="0">
              <a:ln w="12700">
                <a:noFill/>
                <a:prstDash val="solid"/>
              </a:ln>
              <a:solidFill>
                <a:schemeClr val="tx2">
                  <a:alpha val="33000"/>
                </a:schemeClr>
              </a:solidFill>
              <a:effectLst/>
            </a:rPr>
            <a:t>仅供中国移动内部使用</a:t>
          </a:r>
        </a:p>
      </xdr:txBody>
    </xdr:sp>
    <xdr:clientData/>
  </xdr:oneCellAnchor>
  <xdr:twoCellAnchor>
    <xdr:from>
      <xdr:col>0</xdr:col>
      <xdr:colOff>615950</xdr:colOff>
      <xdr:row>38</xdr:row>
      <xdr:rowOff>20955</xdr:rowOff>
    </xdr:from>
    <xdr:to>
      <xdr:col>11</xdr:col>
      <xdr:colOff>17780</xdr:colOff>
      <xdr:row>40</xdr:row>
      <xdr:rowOff>27940</xdr:rowOff>
    </xdr:to>
    <xdr:sp macro="" textlink="">
      <xdr:nvSpPr>
        <xdr:cNvPr id="12" name="矩形 11"/>
        <xdr:cNvSpPr/>
      </xdr:nvSpPr>
      <xdr:spPr>
        <a:xfrm>
          <a:off x="615950" y="11025505"/>
          <a:ext cx="15821025" cy="362585"/>
        </a:xfrm>
        <a:prstGeom prst="rect">
          <a:avLst/>
        </a:prstGeom>
        <a:solidFill>
          <a:schemeClr val="bg2"/>
        </a:solidFill>
      </xdr:spPr>
      <xdr:txBody>
        <a:bodyPr wrap="square"/>
        <a:lstStyle>
          <a:defPPr>
            <a:defRPr lang="zh-CN"/>
          </a:defPPr>
          <a:lvl1pPr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1pPr>
          <a:lvl2pPr marL="457200"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2pPr>
          <a:lvl3pPr marL="914400"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3pPr>
          <a:lvl4pPr marL="1371600"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4pPr>
          <a:lvl5pPr marL="1828800"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5pPr>
          <a:lvl6pPr marL="2286000" algn="l" defTabSz="914400" rtl="0" eaLnBrk="1" latinLnBrk="0" hangingPunct="1">
            <a:defRPr kern="1200">
              <a:solidFill>
                <a:schemeClr val="tx1"/>
              </a:solidFill>
              <a:latin typeface="Arial" panose="020B0604020202020204" pitchFamily="7" charset="0"/>
              <a:ea typeface="宋体" panose="02010600030101010101" pitchFamily="7" charset="-122"/>
              <a:cs typeface="+mn-cs"/>
            </a:defRPr>
          </a:lvl6pPr>
          <a:lvl7pPr marL="2743200" algn="l" defTabSz="914400" rtl="0" eaLnBrk="1" latinLnBrk="0" hangingPunct="1">
            <a:defRPr kern="1200">
              <a:solidFill>
                <a:schemeClr val="tx1"/>
              </a:solidFill>
              <a:latin typeface="Arial" panose="020B0604020202020204" pitchFamily="7" charset="0"/>
              <a:ea typeface="宋体" panose="02010600030101010101" pitchFamily="7" charset="-122"/>
              <a:cs typeface="+mn-cs"/>
            </a:defRPr>
          </a:lvl7pPr>
          <a:lvl8pPr marL="3200400" algn="l" defTabSz="914400" rtl="0" eaLnBrk="1" latinLnBrk="0" hangingPunct="1">
            <a:defRPr kern="1200">
              <a:solidFill>
                <a:schemeClr val="tx1"/>
              </a:solidFill>
              <a:latin typeface="Arial" panose="020B0604020202020204" pitchFamily="7" charset="0"/>
              <a:ea typeface="宋体" panose="02010600030101010101" pitchFamily="7" charset="-122"/>
              <a:cs typeface="+mn-cs"/>
            </a:defRPr>
          </a:lvl8pPr>
          <a:lvl9pPr marL="3657600" algn="l" defTabSz="914400" rtl="0" eaLnBrk="1" latinLnBrk="0" hangingPunct="1">
            <a:defRPr kern="1200">
              <a:solidFill>
                <a:schemeClr val="tx1"/>
              </a:solidFill>
              <a:latin typeface="Arial" panose="020B0604020202020204" pitchFamily="7" charset="0"/>
              <a:ea typeface="宋体" panose="02010600030101010101" pitchFamily="7" charset="-122"/>
              <a:cs typeface="+mn-cs"/>
            </a:defRPr>
          </a:lvl9pPr>
        </a:lstStyle>
        <a:p>
          <a:pPr marL="467995" indent="-457200">
            <a:lnSpc>
              <a:spcPct val="120000"/>
            </a:lnSpc>
            <a:buFont typeface="Wingdings" panose="05000000000000000000" pitchFamily="2" charset="2"/>
            <a:buChar char="p"/>
          </a:pPr>
          <a:r>
            <a:rPr lang="zh-CN" altLang="zh-CN" sz="1200" b="1">
              <a:solidFill>
                <a:srgbClr val="000000"/>
              </a:solidFill>
              <a:latin typeface="微软雅黑" panose="020B0503020204020204" pitchFamily="34" charset="-122"/>
              <a:ea typeface="微软雅黑" panose="020B0503020204020204" pitchFamily="34" charset="-122"/>
            </a:rPr>
            <a:t>最低折扣：</a:t>
          </a:r>
          <a:r>
            <a:rPr kumimoji="0" lang="zh-CN" altLang="en-US" sz="1200" i="0" u="none" strike="noStrike" kern="1200" cap="none" spc="0" normalizeH="0" baseline="0" dirty="0">
              <a:latin typeface="微软雅黑" panose="020B0503020204020204" pitchFamily="34" charset="-122"/>
              <a:ea typeface="微软雅黑" panose="020B0503020204020204" pitchFamily="34" charset="-122"/>
              <a:cs typeface="微软雅黑" panose="020B0503020204020204" pitchFamily="34" charset="-122"/>
            </a:rPr>
            <a:t>针对收取流量费且流量费不低于底线价格的双域专网项目，A3本地业务保障折扣可最低至0折，由各省自行把控，除此之外最低折扣至3折。</a:t>
          </a:r>
        </a:p>
        <a:p>
          <a:pPr marL="467995" indent="-457200" algn="l">
            <a:lnSpc>
              <a:spcPct val="120000"/>
            </a:lnSpc>
            <a:buClrTx/>
            <a:buSzTx/>
            <a:buFont typeface="Wingdings" panose="05000000000000000000" pitchFamily="2" charset="2"/>
            <a:buChar char="p"/>
          </a:pPr>
          <a:endParaRPr lang="zh-CN" altLang="en-US" sz="1200" dirty="0">
            <a:latin typeface="微软雅黑" panose="020B0503020204020204" pitchFamily="34" charset="-122"/>
            <a:ea typeface="微软雅黑" panose="020B0503020204020204" pitchFamily="34" charset="-122"/>
            <a:cs typeface="微软雅黑" panose="020B0503020204020204" pitchFamily="34" charset="-122"/>
          </a:endParaRPr>
        </a:p>
      </xdr:txBody>
    </xdr:sp>
    <xdr:clientData/>
  </xdr:twoCellAnchor>
  <xdr:twoCellAnchor>
    <xdr:from>
      <xdr:col>0</xdr:col>
      <xdr:colOff>634365</xdr:colOff>
      <xdr:row>19</xdr:row>
      <xdr:rowOff>0</xdr:rowOff>
    </xdr:from>
    <xdr:to>
      <xdr:col>5</xdr:col>
      <xdr:colOff>330200</xdr:colOff>
      <xdr:row>23</xdr:row>
      <xdr:rowOff>119380</xdr:rowOff>
    </xdr:to>
    <xdr:sp macro="" textlink="">
      <xdr:nvSpPr>
        <xdr:cNvPr id="15" name="矩形 14"/>
        <xdr:cNvSpPr/>
      </xdr:nvSpPr>
      <xdr:spPr>
        <a:xfrm>
          <a:off x="634365" y="6985000"/>
          <a:ext cx="5985510" cy="830580"/>
        </a:xfrm>
        <a:prstGeom prst="rect">
          <a:avLst/>
        </a:prstGeom>
        <a:solidFill>
          <a:schemeClr val="bg2"/>
        </a:solidFill>
      </xdr:spPr>
      <xdr:txBody>
        <a:bodyPr wrap="square"/>
        <a:lstStyle>
          <a:defPPr>
            <a:defRPr lang="zh-CN"/>
          </a:defPPr>
          <a:lvl1pPr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1pPr>
          <a:lvl2pPr marL="457200"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2pPr>
          <a:lvl3pPr marL="914400"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3pPr>
          <a:lvl4pPr marL="1371600"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4pPr>
          <a:lvl5pPr marL="1828800"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5pPr>
          <a:lvl6pPr marL="2286000" algn="l" defTabSz="914400" rtl="0" eaLnBrk="1" latinLnBrk="0" hangingPunct="1">
            <a:defRPr kern="1200">
              <a:solidFill>
                <a:schemeClr val="tx1"/>
              </a:solidFill>
              <a:latin typeface="Arial" panose="020B0604020202020204" pitchFamily="7" charset="0"/>
              <a:ea typeface="宋体" panose="02010600030101010101" pitchFamily="7" charset="-122"/>
              <a:cs typeface="+mn-cs"/>
            </a:defRPr>
          </a:lvl6pPr>
          <a:lvl7pPr marL="2743200" algn="l" defTabSz="914400" rtl="0" eaLnBrk="1" latinLnBrk="0" hangingPunct="1">
            <a:defRPr kern="1200">
              <a:solidFill>
                <a:schemeClr val="tx1"/>
              </a:solidFill>
              <a:latin typeface="Arial" panose="020B0604020202020204" pitchFamily="7" charset="0"/>
              <a:ea typeface="宋体" panose="02010600030101010101" pitchFamily="7" charset="-122"/>
              <a:cs typeface="+mn-cs"/>
            </a:defRPr>
          </a:lvl7pPr>
          <a:lvl8pPr marL="3200400" algn="l" defTabSz="914400" rtl="0" eaLnBrk="1" latinLnBrk="0" hangingPunct="1">
            <a:defRPr kern="1200">
              <a:solidFill>
                <a:schemeClr val="tx1"/>
              </a:solidFill>
              <a:latin typeface="Arial" panose="020B0604020202020204" pitchFamily="7" charset="0"/>
              <a:ea typeface="宋体" panose="02010600030101010101" pitchFamily="7" charset="-122"/>
              <a:cs typeface="+mn-cs"/>
            </a:defRPr>
          </a:lvl8pPr>
          <a:lvl9pPr marL="3657600" algn="l" defTabSz="914400" rtl="0" eaLnBrk="1" latinLnBrk="0" hangingPunct="1">
            <a:defRPr kern="1200">
              <a:solidFill>
                <a:schemeClr val="tx1"/>
              </a:solidFill>
              <a:latin typeface="Arial" panose="020B0604020202020204" pitchFamily="7" charset="0"/>
              <a:ea typeface="宋体" panose="02010600030101010101" pitchFamily="7" charset="-122"/>
              <a:cs typeface="+mn-cs"/>
            </a:defRPr>
          </a:lvl9pPr>
        </a:lstStyle>
        <a:p>
          <a:pPr marL="467995" indent="-457200">
            <a:lnSpc>
              <a:spcPct val="120000"/>
            </a:lnSpc>
            <a:buFont typeface="Wingdings" panose="05000000000000000000" pitchFamily="2" charset="2"/>
            <a:buChar char="p"/>
          </a:pPr>
          <a:r>
            <a:rPr lang="zh-CN" altLang="en-US" sz="1200" dirty="0">
              <a:latin typeface="微软雅黑" panose="020B0503020204020204" pitchFamily="34" charset="-122"/>
              <a:ea typeface="微软雅黑" panose="020B0503020204020204" pitchFamily="34" charset="-122"/>
              <a:cs typeface="微软雅黑" panose="020B0503020204020204" pitchFamily="34" charset="-122"/>
              <a:sym typeface="+mn-ea"/>
            </a:rPr>
            <a:t>可根据双域专网网络方案，按需订购</a:t>
          </a:r>
          <a:r>
            <a:rPr lang="en-US" altLang="zh-CN" sz="1200" dirty="0">
              <a:latin typeface="微软雅黑" panose="020B0503020204020204" pitchFamily="34" charset="-122"/>
              <a:ea typeface="微软雅黑" panose="020B0503020204020204" pitchFamily="34" charset="-122"/>
              <a:cs typeface="微软雅黑" panose="020B0503020204020204" pitchFamily="34" charset="-122"/>
              <a:sym typeface="+mn-ea"/>
            </a:rPr>
            <a:t>DNN</a:t>
          </a:r>
          <a:r>
            <a:rPr lang="zh-CN" altLang="en-US" sz="1200" dirty="0">
              <a:latin typeface="微软雅黑" panose="020B0503020204020204" pitchFamily="34" charset="-122"/>
              <a:ea typeface="微软雅黑" panose="020B0503020204020204" pitchFamily="34" charset="-122"/>
              <a:cs typeface="微软雅黑" panose="020B0503020204020204" pitchFamily="34" charset="-122"/>
              <a:sym typeface="+mn-ea"/>
            </a:rPr>
            <a:t>或</a:t>
          </a:r>
          <a:r>
            <a:rPr lang="en-US" altLang="zh-CN" sz="1200" dirty="0">
              <a:latin typeface="微软雅黑" panose="020B0503020204020204" pitchFamily="34" charset="-122"/>
              <a:ea typeface="微软雅黑" panose="020B0503020204020204" pitchFamily="34" charset="-122"/>
              <a:cs typeface="微软雅黑" panose="020B0503020204020204" pitchFamily="34" charset="-122"/>
              <a:sym typeface="+mn-ea"/>
            </a:rPr>
            <a:t>ULCL</a:t>
          </a:r>
          <a:r>
            <a:rPr lang="zh-CN" altLang="en-US" sz="1200" dirty="0">
              <a:latin typeface="微软雅黑" panose="020B0503020204020204" pitchFamily="34" charset="-122"/>
              <a:ea typeface="微软雅黑" panose="020B0503020204020204" pitchFamily="34" charset="-122"/>
              <a:cs typeface="微软雅黑" panose="020B0503020204020204" pitchFamily="34" charset="-122"/>
              <a:sym typeface="+mn-ea"/>
            </a:rPr>
            <a:t>分流策略</a:t>
          </a:r>
          <a:endParaRPr lang="en-US" altLang="zh-CN" sz="1200" b="0">
            <a:solidFill>
              <a:srgbClr val="000000"/>
            </a:solidFill>
            <a:latin typeface="微软雅黑" panose="020B0503020204020204" pitchFamily="34" charset="-122"/>
            <a:ea typeface="微软雅黑" panose="020B0503020204020204" pitchFamily="34" charset="-122"/>
          </a:endParaRPr>
        </a:p>
        <a:p>
          <a:pPr marL="467995" indent="-457200">
            <a:lnSpc>
              <a:spcPct val="120000"/>
            </a:lnSpc>
            <a:buFont typeface="Wingdings" panose="05000000000000000000" pitchFamily="2" charset="2"/>
            <a:buChar char="p"/>
          </a:pPr>
          <a:r>
            <a:rPr lang="zh-CN" altLang="en-US" sz="1200" b="1">
              <a:solidFill>
                <a:srgbClr val="000000"/>
              </a:solidFill>
              <a:latin typeface="微软雅黑" panose="020B0503020204020204" pitchFamily="34" charset="-122"/>
              <a:ea typeface="微软雅黑" panose="020B0503020204020204" pitchFamily="34" charset="-122"/>
            </a:rPr>
            <a:t>最低折扣：</a:t>
          </a:r>
          <a:r>
            <a:rPr lang="zh-CN" altLang="en-US" sz="1200">
              <a:solidFill>
                <a:srgbClr val="000000"/>
              </a:solidFill>
              <a:latin typeface="微软雅黑" panose="020B0503020204020204" pitchFamily="34" charset="-122"/>
              <a:ea typeface="微软雅黑" panose="020B0503020204020204" pitchFamily="34" charset="-122"/>
            </a:rPr>
            <a:t>最低折扣</a:t>
          </a:r>
          <a:r>
            <a:rPr lang="en-US" altLang="zh-CN" sz="1200">
              <a:solidFill>
                <a:srgbClr val="000000"/>
              </a:solidFill>
              <a:latin typeface="微软雅黑" panose="020B0503020204020204" pitchFamily="34" charset="-122"/>
              <a:ea typeface="微软雅黑" panose="020B0503020204020204" pitchFamily="34" charset="-122"/>
            </a:rPr>
            <a:t>0</a:t>
          </a:r>
          <a:r>
            <a:rPr lang="zh-CN" altLang="en-US" sz="1200">
              <a:solidFill>
                <a:srgbClr val="000000"/>
              </a:solidFill>
              <a:latin typeface="微软雅黑" panose="020B0503020204020204" pitchFamily="34" charset="-122"/>
              <a:ea typeface="微软雅黑" panose="020B0503020204020204" pitchFamily="34" charset="-122"/>
            </a:rPr>
            <a:t>折，各省自行把控</a:t>
          </a:r>
          <a:endParaRPr lang="zh-CN" altLang="en-US" sz="1200" b="1">
            <a:solidFill>
              <a:srgbClr val="000000"/>
            </a:solidFill>
            <a:latin typeface="微软雅黑" panose="020B0503020204020204" pitchFamily="34" charset="-122"/>
            <a:ea typeface="微软雅黑" panose="020B0503020204020204" pitchFamily="34" charset="-122"/>
          </a:endParaRPr>
        </a:p>
        <a:p>
          <a:pPr marL="467995" indent="-457200">
            <a:lnSpc>
              <a:spcPct val="120000"/>
            </a:lnSpc>
            <a:buFont typeface="Wingdings" panose="05000000000000000000" pitchFamily="2" charset="2"/>
            <a:buChar char="p"/>
          </a:pPr>
          <a:r>
            <a:rPr lang="zh-CN" altLang="en-US" sz="1200" b="1">
              <a:solidFill>
                <a:srgbClr val="000000"/>
              </a:solidFill>
              <a:latin typeface="微软雅黑" panose="020B0503020204020204" pitchFamily="34" charset="-122"/>
              <a:ea typeface="微软雅黑" panose="020B0503020204020204" pitchFamily="34" charset="-122"/>
            </a:rPr>
            <a:t>结算规则：</a:t>
          </a:r>
          <a:r>
            <a:rPr lang="zh-CN" altLang="en-US" sz="1200" b="0">
              <a:solidFill>
                <a:srgbClr val="000000"/>
              </a:solidFill>
              <a:latin typeface="微软雅黑" panose="020B0503020204020204" pitchFamily="34" charset="-122"/>
              <a:ea typeface="微软雅黑" panose="020B0503020204020204" pitchFamily="34" charset="-122"/>
            </a:rPr>
            <a:t>不参与结算</a:t>
          </a:r>
          <a:endParaRPr lang="en-US" altLang="zh-CN" sz="1200" b="0">
            <a:solidFill>
              <a:srgbClr val="000000"/>
            </a:solidFill>
            <a:latin typeface="微软雅黑" panose="020B0503020204020204" pitchFamily="34" charset="-122"/>
            <a:ea typeface="微软雅黑" panose="020B0503020204020204" pitchFamily="34" charset="-122"/>
          </a:endParaRPr>
        </a:p>
      </xdr:txBody>
    </xdr:sp>
    <xdr:clientData/>
  </xdr:twoCellAnchor>
</xdr:wsDr>
</file>

<file path=xl/drawings/drawing13.xml><?xml version="1.0" encoding="utf-8"?>
<xdr:wsDr xmlns:xdr="http://schemas.openxmlformats.org/drawingml/2006/spreadsheetDrawing" xmlns:a="http://schemas.openxmlformats.org/drawingml/2006/main">
  <xdr:oneCellAnchor>
    <xdr:from>
      <xdr:col>1</xdr:col>
      <xdr:colOff>1025525</xdr:colOff>
      <xdr:row>3</xdr:row>
      <xdr:rowOff>0</xdr:rowOff>
    </xdr:from>
    <xdr:ext cx="7515085" cy="1031240"/>
    <xdr:sp macro="" textlink="">
      <xdr:nvSpPr>
        <xdr:cNvPr id="2" name="矩形 1"/>
        <xdr:cNvSpPr/>
      </xdr:nvSpPr>
      <xdr:spPr>
        <a:xfrm rot="19780304">
          <a:off x="1278890" y="917575"/>
          <a:ext cx="7514590" cy="1031240"/>
        </a:xfrm>
        <a:prstGeom prst="rect">
          <a:avLst/>
        </a:prstGeom>
        <a:noFill/>
        <a:effectLst/>
      </xdr:spPr>
      <xdr:txBody>
        <a:bodyPr wrap="square" lIns="91440" tIns="45720" rIns="91440" bIns="45720" anchor="ctr">
          <a:noAutofit/>
        </a:bodyPr>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a:r>
            <a:rPr lang="zh-CN" altLang="en-US" sz="3600" b="1" cap="none" spc="0">
              <a:ln w="12700">
                <a:noFill/>
                <a:prstDash val="solid"/>
              </a:ln>
              <a:solidFill>
                <a:schemeClr val="tx2">
                  <a:alpha val="33000"/>
                </a:schemeClr>
              </a:solidFill>
              <a:effectLst/>
            </a:rPr>
            <a:t>仅供中国移动内部使用</a:t>
          </a:r>
        </a:p>
      </xdr:txBody>
    </xdr:sp>
    <xdr:clientData/>
  </xdr:oneCellAnchor>
  <xdr:oneCellAnchor>
    <xdr:from>
      <xdr:col>1</xdr:col>
      <xdr:colOff>314960</xdr:colOff>
      <xdr:row>3</xdr:row>
      <xdr:rowOff>155575</xdr:rowOff>
    </xdr:from>
    <xdr:ext cx="6081395" cy="1015365"/>
    <xdr:sp macro="" textlink="">
      <xdr:nvSpPr>
        <xdr:cNvPr id="3" name="矩形 2"/>
        <xdr:cNvSpPr/>
      </xdr:nvSpPr>
      <xdr:spPr>
        <a:xfrm rot="19780304">
          <a:off x="568325" y="1073150"/>
          <a:ext cx="6081395" cy="1015365"/>
        </a:xfrm>
        <a:prstGeom prst="rect">
          <a:avLst/>
        </a:prstGeom>
        <a:noFill/>
        <a:effectLst/>
      </xdr:spPr>
      <xdr:txBody>
        <a:bodyPr wrap="square" lIns="91440" tIns="45720" rIns="91440" bIns="45720">
          <a:noAutofit/>
        </a:bodyPr>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a:r>
            <a:rPr lang="zh-CN" altLang="en-US" sz="3600" b="1" cap="none" spc="0">
              <a:ln w="12700">
                <a:noFill/>
                <a:prstDash val="solid"/>
              </a:ln>
              <a:solidFill>
                <a:schemeClr val="tx2">
                  <a:alpha val="33000"/>
                </a:schemeClr>
              </a:solidFill>
              <a:effectLst/>
            </a:rPr>
            <a:t>仅供中国移动内部使用</a:t>
          </a:r>
        </a:p>
      </xdr:txBody>
    </xdr:sp>
    <xdr:clientData/>
  </xdr:oneCellAnchor>
  <xdr:oneCellAnchor>
    <xdr:from>
      <xdr:col>8</xdr:col>
      <xdr:colOff>99695</xdr:colOff>
      <xdr:row>20</xdr:row>
      <xdr:rowOff>0</xdr:rowOff>
    </xdr:from>
    <xdr:ext cx="4839970" cy="1025525"/>
    <xdr:sp macro="" textlink="">
      <xdr:nvSpPr>
        <xdr:cNvPr id="4" name="矩形 3"/>
        <xdr:cNvSpPr/>
      </xdr:nvSpPr>
      <xdr:spPr>
        <a:xfrm rot="19780304">
          <a:off x="9605010" y="8426450"/>
          <a:ext cx="4839970" cy="1025525"/>
        </a:xfrm>
        <a:prstGeom prst="rect">
          <a:avLst/>
        </a:prstGeom>
        <a:noFill/>
        <a:effectLst/>
      </xdr:spPr>
      <xdr:txBody>
        <a:bodyPr wrap="square" lIns="91440" tIns="45720" rIns="91440" bIns="45720" anchor="ctr">
          <a:noAutofit/>
        </a:bodyPr>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a:r>
            <a:rPr lang="zh-CN" altLang="en-US" sz="3600" b="1" cap="none" spc="0">
              <a:ln w="12700">
                <a:noFill/>
                <a:prstDash val="solid"/>
              </a:ln>
              <a:solidFill>
                <a:schemeClr val="tx2">
                  <a:alpha val="33000"/>
                </a:schemeClr>
              </a:solidFill>
              <a:effectLst/>
            </a:rPr>
            <a:t>仅供中国移动内部使用</a:t>
          </a:r>
        </a:p>
      </xdr:txBody>
    </xdr:sp>
    <xdr:clientData/>
  </xdr:oneCellAnchor>
  <xdr:oneCellAnchor>
    <xdr:from>
      <xdr:col>6</xdr:col>
      <xdr:colOff>1659255</xdr:colOff>
      <xdr:row>8</xdr:row>
      <xdr:rowOff>67945</xdr:rowOff>
    </xdr:from>
    <xdr:ext cx="7515225" cy="1031240"/>
    <xdr:sp macro="" textlink="">
      <xdr:nvSpPr>
        <xdr:cNvPr id="5" name="矩形 4"/>
        <xdr:cNvSpPr/>
      </xdr:nvSpPr>
      <xdr:spPr>
        <a:xfrm rot="19780304">
          <a:off x="8625840" y="2382520"/>
          <a:ext cx="7515225" cy="1031240"/>
        </a:xfrm>
        <a:prstGeom prst="rect">
          <a:avLst/>
        </a:prstGeom>
        <a:noFill/>
        <a:effectLst/>
      </xdr:spPr>
      <xdr:txBody>
        <a:bodyPr wrap="square" lIns="91440" tIns="45720" rIns="91440" bIns="45720" anchor="ctr">
          <a:noAutofit/>
        </a:bodyPr>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a:r>
            <a:rPr lang="zh-CN" altLang="en-US" sz="3600" b="1" cap="none" spc="0">
              <a:ln w="12700">
                <a:noFill/>
                <a:prstDash val="solid"/>
              </a:ln>
              <a:solidFill>
                <a:schemeClr val="tx2">
                  <a:alpha val="33000"/>
                </a:schemeClr>
              </a:solidFill>
              <a:effectLst/>
            </a:rPr>
            <a:t>仅供中国移动内部使用</a:t>
          </a:r>
        </a:p>
      </xdr:txBody>
    </xdr:sp>
    <xdr:clientData/>
  </xdr:oneCellAnchor>
  <xdr:oneCellAnchor>
    <xdr:from>
      <xdr:col>4</xdr:col>
      <xdr:colOff>294640</xdr:colOff>
      <xdr:row>20</xdr:row>
      <xdr:rowOff>0</xdr:rowOff>
    </xdr:from>
    <xdr:ext cx="7504430" cy="1013460"/>
    <xdr:sp macro="" textlink="">
      <xdr:nvSpPr>
        <xdr:cNvPr id="6" name="矩形 5"/>
        <xdr:cNvSpPr/>
      </xdr:nvSpPr>
      <xdr:spPr>
        <a:xfrm rot="19780304">
          <a:off x="5098415" y="8426450"/>
          <a:ext cx="7504430" cy="1013460"/>
        </a:xfrm>
        <a:prstGeom prst="rect">
          <a:avLst/>
        </a:prstGeom>
        <a:noFill/>
        <a:effectLst/>
      </xdr:spPr>
      <xdr:txBody>
        <a:bodyPr wrap="square" lIns="91440" tIns="45720" rIns="91440" bIns="45720">
          <a:noAutofit/>
        </a:bodyPr>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a:r>
            <a:rPr lang="zh-CN" altLang="en-US" sz="3600" b="1" cap="none" spc="0">
              <a:ln w="12700">
                <a:noFill/>
                <a:prstDash val="solid"/>
              </a:ln>
              <a:solidFill>
                <a:schemeClr val="tx2">
                  <a:alpha val="33000"/>
                </a:schemeClr>
              </a:solidFill>
              <a:effectLst/>
            </a:rPr>
            <a:t>仅供中国移动内部使用</a:t>
          </a:r>
        </a:p>
      </xdr:txBody>
    </xdr:sp>
    <xdr:clientData/>
  </xdr:oneCellAnchor>
  <xdr:oneCellAnchor>
    <xdr:from>
      <xdr:col>1</xdr:col>
      <xdr:colOff>754242</xdr:colOff>
      <xdr:row>2</xdr:row>
      <xdr:rowOff>0</xdr:rowOff>
    </xdr:from>
    <xdr:ext cx="7515085" cy="1031240"/>
    <xdr:sp macro="" textlink="">
      <xdr:nvSpPr>
        <xdr:cNvPr id="9" name="矩形 8"/>
        <xdr:cNvSpPr/>
      </xdr:nvSpPr>
      <xdr:spPr>
        <a:xfrm rot="19780304">
          <a:off x="1007110" y="622300"/>
          <a:ext cx="7515225" cy="1031240"/>
        </a:xfrm>
        <a:prstGeom prst="rect">
          <a:avLst/>
        </a:prstGeom>
        <a:noFill/>
        <a:effectLst/>
      </xdr:spPr>
      <xdr:txBody>
        <a:bodyPr wrap="square" lIns="91440" tIns="45720" rIns="91440" bIns="45720" anchor="ctr">
          <a:noAutofit/>
        </a:bodyPr>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a:r>
            <a:rPr lang="zh-CN" altLang="en-US" sz="3600" b="1" cap="none" spc="0">
              <a:ln w="12700">
                <a:noFill/>
                <a:prstDash val="solid"/>
              </a:ln>
              <a:solidFill>
                <a:schemeClr val="tx2">
                  <a:alpha val="33000"/>
                </a:schemeClr>
              </a:solidFill>
              <a:effectLst/>
            </a:rPr>
            <a:t>仅供中国移动内部使用</a:t>
          </a:r>
        </a:p>
      </xdr:txBody>
    </xdr:sp>
    <xdr:clientData/>
  </xdr:oneCellAnchor>
  <xdr:oneCellAnchor>
    <xdr:from>
      <xdr:col>1</xdr:col>
      <xdr:colOff>1180062</xdr:colOff>
      <xdr:row>7</xdr:row>
      <xdr:rowOff>187891</xdr:rowOff>
    </xdr:from>
    <xdr:ext cx="7515085" cy="1031240"/>
    <xdr:sp macro="" textlink="">
      <xdr:nvSpPr>
        <xdr:cNvPr id="10" name="矩形 9"/>
        <xdr:cNvSpPr/>
      </xdr:nvSpPr>
      <xdr:spPr>
        <a:xfrm rot="19780304">
          <a:off x="1433195" y="2222500"/>
          <a:ext cx="7515225" cy="1031240"/>
        </a:xfrm>
        <a:prstGeom prst="rect">
          <a:avLst/>
        </a:prstGeom>
        <a:noFill/>
        <a:effectLst/>
      </xdr:spPr>
      <xdr:txBody>
        <a:bodyPr wrap="square" lIns="91440" tIns="45720" rIns="91440" bIns="45720" anchor="ctr">
          <a:noAutofit/>
        </a:bodyPr>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a:r>
            <a:rPr lang="zh-CN" altLang="en-US" sz="3600" b="1" cap="none" spc="0">
              <a:ln w="12700">
                <a:noFill/>
                <a:prstDash val="solid"/>
              </a:ln>
              <a:solidFill>
                <a:schemeClr val="tx2">
                  <a:alpha val="33000"/>
                </a:schemeClr>
              </a:solidFill>
              <a:effectLst/>
            </a:rPr>
            <a:t>仅供中国移动内部使用</a:t>
          </a:r>
        </a:p>
      </xdr:txBody>
    </xdr:sp>
    <xdr:clientData/>
  </xdr:oneCellAnchor>
  <xdr:oneCellAnchor>
    <xdr:from>
      <xdr:col>11</xdr:col>
      <xdr:colOff>15240</xdr:colOff>
      <xdr:row>12</xdr:row>
      <xdr:rowOff>182245</xdr:rowOff>
    </xdr:from>
    <xdr:ext cx="9211789" cy="1022198"/>
    <xdr:sp macro="" textlink="">
      <xdr:nvSpPr>
        <xdr:cNvPr id="11" name="矩形 10"/>
        <xdr:cNvSpPr/>
      </xdr:nvSpPr>
      <xdr:spPr>
        <a:xfrm rot="19237802">
          <a:off x="13920470" y="3766820"/>
          <a:ext cx="9211310" cy="1021715"/>
        </a:xfrm>
        <a:prstGeom prst="rect">
          <a:avLst/>
        </a:prstGeom>
        <a:noFill/>
        <a:effectLst/>
      </xdr:spPr>
      <xdr:txBody>
        <a:bodyPr wrap="square" lIns="91440" tIns="45720" rIns="91440" bIns="45720">
          <a:noAutofit/>
        </a:bodyPr>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a:r>
            <a:rPr lang="zh-CN" altLang="en-US" sz="3600" b="1" cap="none" spc="0">
              <a:ln w="12700">
                <a:noFill/>
                <a:prstDash val="solid"/>
              </a:ln>
              <a:solidFill>
                <a:schemeClr val="tx2">
                  <a:alpha val="33000"/>
                </a:schemeClr>
              </a:solidFill>
              <a:effectLst/>
            </a:rPr>
            <a:t>仅供中国移动内部使用</a:t>
          </a:r>
        </a:p>
      </xdr:txBody>
    </xdr:sp>
    <xdr:clientData/>
  </xdr:oneCellAnchor>
  <xdr:twoCellAnchor>
    <xdr:from>
      <xdr:col>0</xdr:col>
      <xdr:colOff>223520</xdr:colOff>
      <xdr:row>44</xdr:row>
      <xdr:rowOff>7620</xdr:rowOff>
    </xdr:from>
    <xdr:to>
      <xdr:col>13</xdr:col>
      <xdr:colOff>0</xdr:colOff>
      <xdr:row>48</xdr:row>
      <xdr:rowOff>147955</xdr:rowOff>
    </xdr:to>
    <xdr:sp macro="" textlink="">
      <xdr:nvSpPr>
        <xdr:cNvPr id="12" name="矩形 11"/>
        <xdr:cNvSpPr/>
      </xdr:nvSpPr>
      <xdr:spPr>
        <a:xfrm>
          <a:off x="223520" y="13847445"/>
          <a:ext cx="18325465" cy="851535"/>
        </a:xfrm>
        <a:prstGeom prst="rect">
          <a:avLst/>
        </a:prstGeom>
        <a:solidFill>
          <a:schemeClr val="bg2"/>
        </a:solidFill>
      </xdr:spPr>
      <xdr:txBody>
        <a:bodyPr wrap="square"/>
        <a:lstStyle>
          <a:defPPr>
            <a:defRPr lang="zh-CN"/>
          </a:defPPr>
          <a:lvl1pPr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1pPr>
          <a:lvl2pPr marL="457200"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2pPr>
          <a:lvl3pPr marL="914400"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3pPr>
          <a:lvl4pPr marL="1371600"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4pPr>
          <a:lvl5pPr marL="1828800"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5pPr>
          <a:lvl6pPr marL="2286000" algn="l" defTabSz="914400" rtl="0" eaLnBrk="1" latinLnBrk="0" hangingPunct="1">
            <a:defRPr kern="1200">
              <a:solidFill>
                <a:schemeClr val="tx1"/>
              </a:solidFill>
              <a:latin typeface="Arial" panose="020B0604020202020204" pitchFamily="7" charset="0"/>
              <a:ea typeface="宋体" panose="02010600030101010101" pitchFamily="7" charset="-122"/>
              <a:cs typeface="+mn-cs"/>
            </a:defRPr>
          </a:lvl6pPr>
          <a:lvl7pPr marL="2743200" algn="l" defTabSz="914400" rtl="0" eaLnBrk="1" latinLnBrk="0" hangingPunct="1">
            <a:defRPr kern="1200">
              <a:solidFill>
                <a:schemeClr val="tx1"/>
              </a:solidFill>
              <a:latin typeface="Arial" panose="020B0604020202020204" pitchFamily="7" charset="0"/>
              <a:ea typeface="宋体" panose="02010600030101010101" pitchFamily="7" charset="-122"/>
              <a:cs typeface="+mn-cs"/>
            </a:defRPr>
          </a:lvl7pPr>
          <a:lvl8pPr marL="3200400" algn="l" defTabSz="914400" rtl="0" eaLnBrk="1" latinLnBrk="0" hangingPunct="1">
            <a:defRPr kern="1200">
              <a:solidFill>
                <a:schemeClr val="tx1"/>
              </a:solidFill>
              <a:latin typeface="Arial" panose="020B0604020202020204" pitchFamily="7" charset="0"/>
              <a:ea typeface="宋体" panose="02010600030101010101" pitchFamily="7" charset="-122"/>
              <a:cs typeface="+mn-cs"/>
            </a:defRPr>
          </a:lvl8pPr>
          <a:lvl9pPr marL="3657600" algn="l" defTabSz="914400" rtl="0" eaLnBrk="1" latinLnBrk="0" hangingPunct="1">
            <a:defRPr kern="1200">
              <a:solidFill>
                <a:schemeClr val="tx1"/>
              </a:solidFill>
              <a:latin typeface="Arial" panose="020B0604020202020204" pitchFamily="7" charset="0"/>
              <a:ea typeface="宋体" panose="02010600030101010101" pitchFamily="7" charset="-122"/>
              <a:cs typeface="+mn-cs"/>
            </a:defRPr>
          </a:lvl9pPr>
        </a:lstStyle>
        <a:p>
          <a:pPr marL="467995" indent="-457200">
            <a:lnSpc>
              <a:spcPct val="120000"/>
            </a:lnSpc>
            <a:buFont typeface="Wingdings" panose="05000000000000000000" pitchFamily="2" charset="2"/>
            <a:buChar char="p"/>
          </a:pPr>
          <a:r>
            <a:rPr lang="zh-CN" altLang="zh-CN" sz="1200" b="1">
              <a:solidFill>
                <a:srgbClr val="000000"/>
              </a:solidFill>
              <a:latin typeface="微软雅黑" panose="020B0503020204020204" pitchFamily="34" charset="-122"/>
              <a:ea typeface="微软雅黑" panose="020B0503020204020204" pitchFamily="34" charset="-122"/>
              <a:sym typeface="+mn-ea"/>
            </a:rPr>
            <a:t>如突破底线折扣，根据项目实际效益进行以下决策：</a:t>
          </a:r>
          <a:endParaRPr lang="zh-CN" altLang="en-US" sz="1200" dirty="0">
            <a:latin typeface="微软雅黑" panose="020B0503020204020204" pitchFamily="34" charset="-122"/>
            <a:ea typeface="微软雅黑" panose="020B0503020204020204" pitchFamily="34" charset="-122"/>
            <a:cs typeface="微软雅黑" panose="020B0503020204020204" pitchFamily="34" charset="-122"/>
          </a:endParaRPr>
        </a:p>
        <a:p>
          <a:pPr marL="10795" indent="0">
            <a:lnSpc>
              <a:spcPct val="120000"/>
            </a:lnSpc>
            <a:buFont typeface="Wingdings" panose="05000000000000000000" pitchFamily="2" charset="2"/>
            <a:buNone/>
          </a:pPr>
          <a:r>
            <a:rPr lang="en-US" altLang="zh-CN" sz="1200" dirty="0">
              <a:latin typeface="微软雅黑" panose="020B0503020204020204" pitchFamily="34" charset="-122"/>
              <a:ea typeface="微软雅黑" panose="020B0503020204020204" pitchFamily="34" charset="-122"/>
              <a:cs typeface="微软雅黑" panose="020B0503020204020204" pitchFamily="34" charset="-122"/>
            </a:rPr>
            <a:t>          </a:t>
          </a:r>
          <a:r>
            <a:rPr lang="zh-CN" altLang="en-US" sz="1200" dirty="0">
              <a:latin typeface="微软雅黑" panose="020B0503020204020204" pitchFamily="34" charset="-122"/>
              <a:ea typeface="微软雅黑" panose="020B0503020204020204" pitchFamily="34" charset="-122"/>
              <a:cs typeface="微软雅黑" panose="020B0503020204020204" pitchFamily="34" charset="-122"/>
            </a:rPr>
            <a:t>1）低于最低折扣，但满足省内ICT管理要求的项目，根据省内ICT项目管理要求审批。</a:t>
          </a:r>
        </a:p>
        <a:p>
          <a:pPr marL="10795" indent="0">
            <a:lnSpc>
              <a:spcPct val="120000"/>
            </a:lnSpc>
            <a:buFont typeface="Wingdings" panose="05000000000000000000" pitchFamily="2" charset="2"/>
            <a:buNone/>
          </a:pPr>
          <a:r>
            <a:rPr lang="en-US" altLang="zh-CN" sz="1200" dirty="0">
              <a:latin typeface="微软雅黑" panose="020B0503020204020204" pitchFamily="34" charset="-122"/>
              <a:ea typeface="微软雅黑" panose="020B0503020204020204" pitchFamily="34" charset="-122"/>
              <a:cs typeface="微软雅黑" panose="020B0503020204020204" pitchFamily="34" charset="-122"/>
            </a:rPr>
            <a:t>          </a:t>
          </a:r>
          <a:r>
            <a:rPr lang="zh-CN" altLang="en-US" sz="1200" dirty="0">
              <a:latin typeface="微软雅黑" panose="020B0503020204020204" pitchFamily="34" charset="-122"/>
              <a:ea typeface="微软雅黑" panose="020B0503020204020204" pitchFamily="34" charset="-122"/>
              <a:cs typeface="微软雅黑" panose="020B0503020204020204" pitchFamily="34" charset="-122"/>
            </a:rPr>
            <a:t>2）低于最低折扣，且不满足省内ICT管理要求的项目，严格管控，各省审批通过后，报集团审批。</a:t>
          </a:r>
        </a:p>
      </xdr:txBody>
    </xdr:sp>
    <xdr:clientData/>
  </xdr:twoCellAnchor>
  <xdr:twoCellAnchor>
    <xdr:from>
      <xdr:col>0</xdr:col>
      <xdr:colOff>241935</xdr:colOff>
      <xdr:row>76</xdr:row>
      <xdr:rowOff>6985</xdr:rowOff>
    </xdr:from>
    <xdr:to>
      <xdr:col>12</xdr:col>
      <xdr:colOff>1658620</xdr:colOff>
      <xdr:row>80</xdr:row>
      <xdr:rowOff>146050</xdr:rowOff>
    </xdr:to>
    <xdr:sp macro="" textlink="">
      <xdr:nvSpPr>
        <xdr:cNvPr id="13" name="矩形 12"/>
        <xdr:cNvSpPr/>
      </xdr:nvSpPr>
      <xdr:spPr>
        <a:xfrm>
          <a:off x="241935" y="20825460"/>
          <a:ext cx="18305780" cy="850265"/>
        </a:xfrm>
        <a:prstGeom prst="rect">
          <a:avLst/>
        </a:prstGeom>
        <a:solidFill>
          <a:schemeClr val="bg2"/>
        </a:solidFill>
      </xdr:spPr>
      <xdr:txBody>
        <a:bodyPr wrap="square"/>
        <a:lstStyle>
          <a:defPPr>
            <a:defRPr lang="zh-CN"/>
          </a:defPPr>
          <a:lvl1pPr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1pPr>
          <a:lvl2pPr marL="457200"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2pPr>
          <a:lvl3pPr marL="914400"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3pPr>
          <a:lvl4pPr marL="1371600"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4pPr>
          <a:lvl5pPr marL="1828800"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5pPr>
          <a:lvl6pPr marL="2286000" algn="l" defTabSz="914400" rtl="0" eaLnBrk="1" latinLnBrk="0" hangingPunct="1">
            <a:defRPr kern="1200">
              <a:solidFill>
                <a:schemeClr val="tx1"/>
              </a:solidFill>
              <a:latin typeface="Arial" panose="020B0604020202020204" pitchFamily="7" charset="0"/>
              <a:ea typeface="宋体" panose="02010600030101010101" pitchFamily="7" charset="-122"/>
              <a:cs typeface="+mn-cs"/>
            </a:defRPr>
          </a:lvl6pPr>
          <a:lvl7pPr marL="2743200" algn="l" defTabSz="914400" rtl="0" eaLnBrk="1" latinLnBrk="0" hangingPunct="1">
            <a:defRPr kern="1200">
              <a:solidFill>
                <a:schemeClr val="tx1"/>
              </a:solidFill>
              <a:latin typeface="Arial" panose="020B0604020202020204" pitchFamily="7" charset="0"/>
              <a:ea typeface="宋体" panose="02010600030101010101" pitchFamily="7" charset="-122"/>
              <a:cs typeface="+mn-cs"/>
            </a:defRPr>
          </a:lvl7pPr>
          <a:lvl8pPr marL="3200400" algn="l" defTabSz="914400" rtl="0" eaLnBrk="1" latinLnBrk="0" hangingPunct="1">
            <a:defRPr kern="1200">
              <a:solidFill>
                <a:schemeClr val="tx1"/>
              </a:solidFill>
              <a:latin typeface="Arial" panose="020B0604020202020204" pitchFamily="7" charset="0"/>
              <a:ea typeface="宋体" panose="02010600030101010101" pitchFamily="7" charset="-122"/>
              <a:cs typeface="+mn-cs"/>
            </a:defRPr>
          </a:lvl8pPr>
          <a:lvl9pPr marL="3657600" algn="l" defTabSz="914400" rtl="0" eaLnBrk="1" latinLnBrk="0" hangingPunct="1">
            <a:defRPr kern="1200">
              <a:solidFill>
                <a:schemeClr val="tx1"/>
              </a:solidFill>
              <a:latin typeface="Arial" panose="020B0604020202020204" pitchFamily="7" charset="0"/>
              <a:ea typeface="宋体" panose="02010600030101010101" pitchFamily="7" charset="-122"/>
              <a:cs typeface="+mn-cs"/>
            </a:defRPr>
          </a:lvl9pPr>
        </a:lstStyle>
        <a:p>
          <a:pPr marL="467995" indent="-457200">
            <a:lnSpc>
              <a:spcPct val="120000"/>
            </a:lnSpc>
            <a:buFont typeface="Wingdings" panose="05000000000000000000" pitchFamily="2" charset="2"/>
            <a:buChar char="p"/>
          </a:pPr>
          <a:r>
            <a:rPr lang="zh-CN" altLang="zh-CN" sz="1200" b="1">
              <a:solidFill>
                <a:srgbClr val="000000"/>
              </a:solidFill>
              <a:latin typeface="微软雅黑" panose="020B0503020204020204" pitchFamily="34" charset="-122"/>
              <a:ea typeface="微软雅黑" panose="020B0503020204020204" pitchFamily="34" charset="-122"/>
              <a:sym typeface="+mn-ea"/>
            </a:rPr>
            <a:t>如突破底线折扣，根据项目实际效益进行以下决策：</a:t>
          </a:r>
          <a:endParaRPr lang="zh-CN" altLang="en-US" sz="1200" dirty="0">
            <a:latin typeface="微软雅黑" panose="020B0503020204020204" pitchFamily="34" charset="-122"/>
            <a:ea typeface="微软雅黑" panose="020B0503020204020204" pitchFamily="34" charset="-122"/>
            <a:cs typeface="微软雅黑" panose="020B0503020204020204" pitchFamily="34" charset="-122"/>
          </a:endParaRPr>
        </a:p>
        <a:p>
          <a:pPr marL="10795" indent="0">
            <a:lnSpc>
              <a:spcPct val="120000"/>
            </a:lnSpc>
            <a:buFont typeface="Wingdings" panose="05000000000000000000" pitchFamily="2" charset="2"/>
            <a:buNone/>
          </a:pPr>
          <a:r>
            <a:rPr lang="en-US" altLang="zh-CN" sz="1200" dirty="0">
              <a:latin typeface="微软雅黑" panose="020B0503020204020204" pitchFamily="34" charset="-122"/>
              <a:ea typeface="微软雅黑" panose="020B0503020204020204" pitchFamily="34" charset="-122"/>
              <a:cs typeface="微软雅黑" panose="020B0503020204020204" pitchFamily="34" charset="-122"/>
            </a:rPr>
            <a:t>          </a:t>
          </a:r>
          <a:r>
            <a:rPr lang="zh-CN" altLang="en-US" sz="1200" dirty="0">
              <a:latin typeface="微软雅黑" panose="020B0503020204020204" pitchFamily="34" charset="-122"/>
              <a:ea typeface="微软雅黑" panose="020B0503020204020204" pitchFamily="34" charset="-122"/>
              <a:cs typeface="微软雅黑" panose="020B0503020204020204" pitchFamily="34" charset="-122"/>
            </a:rPr>
            <a:t>1）低于最低折扣，但满足省内ICT管理要求的项目，根据省内ICT项目管理要求审批。</a:t>
          </a:r>
        </a:p>
        <a:p>
          <a:pPr marL="10795" indent="0">
            <a:lnSpc>
              <a:spcPct val="120000"/>
            </a:lnSpc>
            <a:buFont typeface="Wingdings" panose="05000000000000000000" pitchFamily="2" charset="2"/>
            <a:buNone/>
          </a:pPr>
          <a:r>
            <a:rPr lang="en-US" altLang="zh-CN" sz="1200" dirty="0">
              <a:latin typeface="微软雅黑" panose="020B0503020204020204" pitchFamily="34" charset="-122"/>
              <a:ea typeface="微软雅黑" panose="020B0503020204020204" pitchFamily="34" charset="-122"/>
              <a:cs typeface="微软雅黑" panose="020B0503020204020204" pitchFamily="34" charset="-122"/>
            </a:rPr>
            <a:t>          </a:t>
          </a:r>
          <a:r>
            <a:rPr lang="zh-CN" altLang="en-US" sz="1200" dirty="0">
              <a:latin typeface="微软雅黑" panose="020B0503020204020204" pitchFamily="34" charset="-122"/>
              <a:ea typeface="微软雅黑" panose="020B0503020204020204" pitchFamily="34" charset="-122"/>
              <a:cs typeface="微软雅黑" panose="020B0503020204020204" pitchFamily="34" charset="-122"/>
            </a:rPr>
            <a:t>2）低于最低折扣，且不满足省内ICT管理要求的项目，严格管控，各省审批通过后，报集团审批。</a:t>
          </a:r>
        </a:p>
      </xdr:txBody>
    </xdr:sp>
    <xdr:clientData/>
  </xdr:twoCellAnchor>
</xdr:wsDr>
</file>

<file path=xl/drawings/drawing14.xml><?xml version="1.0" encoding="utf-8"?>
<xdr:wsDr xmlns:xdr="http://schemas.openxmlformats.org/drawingml/2006/spreadsheetDrawing" xmlns:a="http://schemas.openxmlformats.org/drawingml/2006/main">
  <xdr:oneCellAnchor>
    <xdr:from>
      <xdr:col>9</xdr:col>
      <xdr:colOff>213995</xdr:colOff>
      <xdr:row>8</xdr:row>
      <xdr:rowOff>33020</xdr:rowOff>
    </xdr:from>
    <xdr:ext cx="2256155" cy="277495"/>
    <mc:AlternateContent xmlns:mc="http://schemas.openxmlformats.org/markup-compatibility/2006" xmlns:a14="http://schemas.microsoft.com/office/drawing/2010/main">
      <mc:Choice Requires="a14">
        <xdr:sp macro="" textlink="">
          <xdr:nvSpPr>
            <xdr:cNvPr id="2" name="文本框 1"/>
            <xdr:cNvSpPr txBox="1"/>
          </xdr:nvSpPr>
          <xdr:spPr>
            <a:xfrm>
              <a:off x="11188700" y="1750695"/>
              <a:ext cx="2256155" cy="27749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14:m>
                <m:oMath xmlns:m="http://schemas.openxmlformats.org/officeDocument/2006/math">
                  <m:r>
                    <a:rPr lang="en-US" altLang="zh-CN" sz="1100" i="1">
                      <a:latin typeface="Cambria Math" panose="02040503050406030204" charset="0"/>
                      <a:cs typeface="Cambria Math" panose="02040503050406030204" charset="0"/>
                    </a:rPr>
                    <m:t>𝑈𝑃𝐹</m:t>
                  </m:r>
                </m:oMath>
              </a14:m>
              <a:r>
                <a:rPr lang="zh-CN" altLang="en-US" sz="1100">
                  <a:latin typeface="Cambria Math" panose="02040503050406030204" charset="0"/>
                  <a:cs typeface="Cambria Math" panose="02040503050406030204" charset="0"/>
                </a:rPr>
                <a:t>带宽分流费目录价</a:t>
              </a:r>
              <a:r>
                <a:rPr lang="en-US" altLang="zh-CN" sz="1100">
                  <a:latin typeface="Cambria Math" panose="02040503050406030204" charset="0"/>
                  <a:cs typeface="Cambria Math" panose="02040503050406030204" charset="0"/>
                </a:rPr>
                <a:t>=A3</a:t>
              </a:r>
              <a:r>
                <a:rPr lang="zh-CN" altLang="en-US" sz="1100">
                  <a:latin typeface="Cambria Math" panose="02040503050406030204" charset="0"/>
                  <a:cs typeface="Cambria Math" panose="02040503050406030204" charset="0"/>
                </a:rPr>
                <a:t>目录价</a:t>
              </a:r>
              <a:endParaRPr lang="en-US" altLang="zh-CN" sz="1100">
                <a:latin typeface="Cambria Math" panose="02040503050406030204" charset="0"/>
                <a:cs typeface="Cambria Math" panose="02040503050406030204" charset="0"/>
              </a:endParaRPr>
            </a:p>
          </xdr:txBody>
        </xdr:sp>
      </mc:Choice>
      <mc:Fallback xmlns:r="http://schemas.openxmlformats.org/officeDocument/2006/relationships" xmlns="">
        <xdr:sp>
          <xdr:nvSpPr>
            <xdr:cNvPr id="2" name="文本框 1"/>
            <xdr:cNvSpPr txBox="1"/>
          </xdr:nvSpPr>
          <xdr:spPr>
            <a:xfrm>
              <a:off x="11188700" y="1750695"/>
              <a:ext cx="2256155" cy="27749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r>
                <a:rPr lang="en-US" altLang="zh-CN" sz="1100">
                  <a:latin typeface="Cambria Math" panose="02040503050406030204" charset="0"/>
                  <a:cs typeface="Cambria Math" panose="02040503050406030204" charset="0"/>
                </a:rPr>
                <a:t>𝑈𝑃𝐹</a:t>
              </a:r>
              <a:r>
                <a:rPr lang="zh-CN" altLang="en-US" sz="1100">
                  <a:latin typeface="Cambria Math" panose="02040503050406030204" charset="0"/>
                  <a:cs typeface="Cambria Math" panose="02040503050406030204" charset="0"/>
                </a:rPr>
                <a:t>带宽分流费目录价</a:t>
              </a:r>
              <a:r>
                <a:rPr lang="en-US" altLang="zh-CN" sz="1100">
                  <a:latin typeface="Cambria Math" panose="02040503050406030204" charset="0"/>
                  <a:cs typeface="Cambria Math" panose="02040503050406030204" charset="0"/>
                </a:rPr>
                <a:t>=A3</a:t>
              </a:r>
              <a:r>
                <a:rPr lang="zh-CN" altLang="en-US" sz="1100">
                  <a:latin typeface="Cambria Math" panose="02040503050406030204" charset="0"/>
                  <a:cs typeface="Cambria Math" panose="02040503050406030204" charset="0"/>
                </a:rPr>
                <a:t>目录价</a:t>
              </a:r>
              <a:endParaRPr lang="en-US" altLang="zh-CN" sz="1100">
                <a:latin typeface="Cambria Math" panose="02040503050406030204" charset="0"/>
                <a:cs typeface="Cambria Math" panose="02040503050406030204" charset="0"/>
              </a:endParaRPr>
            </a:p>
          </xdr:txBody>
        </xdr:sp>
      </mc:Fallback>
    </mc:AlternateContent>
    <xdr:clientData/>
  </xdr:oneCellAnchor>
  <xdr:oneCellAnchor>
    <xdr:from>
      <xdr:col>5</xdr:col>
      <xdr:colOff>38735</xdr:colOff>
      <xdr:row>7</xdr:row>
      <xdr:rowOff>162560</xdr:rowOff>
    </xdr:from>
    <xdr:ext cx="4324350" cy="367665"/>
    <mc:AlternateContent xmlns:mc="http://schemas.openxmlformats.org/markup-compatibility/2006" xmlns:a14="http://schemas.microsoft.com/office/drawing/2010/main">
      <mc:Choice Requires="a14">
        <xdr:sp macro="" textlink="">
          <xdr:nvSpPr>
            <xdr:cNvPr id="3" name="文本框 2"/>
            <xdr:cNvSpPr txBox="1"/>
          </xdr:nvSpPr>
          <xdr:spPr>
            <a:xfrm>
              <a:off x="6365240" y="1670685"/>
              <a:ext cx="4324350" cy="36766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14:m>
                <m:oMath xmlns:m="http://schemas.openxmlformats.org/officeDocument/2006/math">
                  <m:r>
                    <a:rPr lang="en-US" altLang="zh-CN" sz="1100" i="1">
                      <a:latin typeface="Cambria Math" panose="02040503050406030204" charset="0"/>
                      <a:cs typeface="Cambria Math" panose="02040503050406030204" charset="0"/>
                    </a:rPr>
                    <m:t>𝑈𝑃𝐹</m:t>
                  </m:r>
                </m:oMath>
              </a14:m>
              <a:r>
                <a:rPr lang="zh-CN" altLang="en-US" sz="1100">
                  <a:latin typeface="Cambria Math" panose="02040503050406030204" charset="0"/>
                  <a:cs typeface="Cambria Math" panose="02040503050406030204" charset="0"/>
                </a:rPr>
                <a:t>带宽</a:t>
              </a:r>
              <a:r>
                <a:rPr lang="en-US" altLang="zh-CN" sz="1100">
                  <a:latin typeface="Cambria Math" panose="02040503050406030204" charset="0"/>
                  <a:cs typeface="Cambria Math" panose="02040503050406030204" charset="0"/>
                </a:rPr>
                <a:t>=</a:t>
              </a:r>
              <a14:m>
                <m:oMath xmlns:m="http://schemas.openxmlformats.org/officeDocument/2006/math">
                  <m:f>
                    <m:fPr>
                      <m:ctrlPr>
                        <a:rPr lang="en-US" altLang="zh-CN" sz="1100" i="1">
                          <a:latin typeface="Cambria Math" panose="02040503050406030204" pitchFamily="18" charset="0"/>
                          <a:cs typeface="Cambria Math" panose="02040503050406030204" charset="0"/>
                        </a:rPr>
                      </m:ctrlPr>
                    </m:fPr>
                    <m:num>
                      <m:r>
                        <a:rPr lang="en-US" altLang="zh-CN" sz="1100" i="1">
                          <a:latin typeface="Cambria Math" panose="02040503050406030204" charset="0"/>
                          <a:cs typeface="Cambria Math" panose="02040503050406030204" charset="0"/>
                        </a:rPr>
                        <m:t>8∗</m:t>
                      </m:r>
                      <m:r>
                        <a:rPr lang="zh-CN" altLang="en-US" sz="1100" i="1">
                          <a:latin typeface="Cambria Math" panose="02040503050406030204" charset="0"/>
                          <a:cs typeface="Cambria Math" panose="02040503050406030204" charset="0"/>
                        </a:rPr>
                        <m:t>流量档位（</m:t>
                      </m:r>
                      <m:r>
                        <a:rPr lang="en-US" altLang="zh-CN" sz="1100" i="1">
                          <a:latin typeface="Cambria Math" panose="02040503050406030204" charset="0"/>
                          <a:cs typeface="Cambria Math" panose="02040503050406030204" charset="0"/>
                        </a:rPr>
                        <m:t>𝐺𝐵</m:t>
                      </m:r>
                      <m:r>
                        <a:rPr lang="zh-CN" altLang="en-US" sz="1100" i="1">
                          <a:latin typeface="Cambria Math" panose="02040503050406030204" charset="0"/>
                          <a:cs typeface="Cambria Math" panose="02040503050406030204" charset="0"/>
                        </a:rPr>
                        <m:t>）</m:t>
                      </m:r>
                      <m:r>
                        <a:rPr lang="en-US" altLang="zh-CN" sz="1100" i="1">
                          <a:latin typeface="Cambria Math" panose="02040503050406030204" charset="0"/>
                          <a:cs typeface="Cambria Math" panose="02040503050406030204" charset="0"/>
                        </a:rPr>
                        <m:t>∗1024</m:t>
                      </m:r>
                    </m:num>
                    <m:den>
                      <m:r>
                        <a:rPr lang="zh-CN" altLang="en-US" sz="1100" i="1">
                          <a:latin typeface="Cambria Math" panose="02040503050406030204" charset="0"/>
                          <a:cs typeface="Cambria Math" panose="02040503050406030204" charset="0"/>
                        </a:rPr>
                        <m:t>每卡每天使用小时数</m:t>
                      </m:r>
                      <m:r>
                        <a:rPr lang="en-US" altLang="zh-CN" sz="1100" i="1">
                          <a:latin typeface="Cambria Math" panose="02040503050406030204" charset="0"/>
                          <a:cs typeface="Cambria Math" panose="02040503050406030204" charset="0"/>
                        </a:rPr>
                        <m:t>∗60∗60∗</m:t>
                      </m:r>
                      <m:r>
                        <a:rPr lang="zh-CN" altLang="en-US" sz="1100" i="1">
                          <a:latin typeface="Cambria Math" panose="02040503050406030204" charset="0"/>
                          <a:cs typeface="Cambria Math" panose="02040503050406030204" charset="0"/>
                        </a:rPr>
                        <m:t>每卡每月使用天数</m:t>
                      </m:r>
                    </m:den>
                  </m:f>
                  <m:r>
                    <a:rPr lang="en-US" altLang="zh-CN" sz="1100" i="1">
                      <a:latin typeface="Cambria Math" panose="02040503050406030204" charset="0"/>
                      <a:cs typeface="Cambria Math" panose="02040503050406030204" charset="0"/>
                    </a:rPr>
                    <m:t>∗</m:t>
                  </m:r>
                </m:oMath>
              </a14:m>
              <a:r>
                <a:rPr lang="zh-CN" altLang="en-US" sz="1100">
                  <a:latin typeface="Cambria Math" panose="02040503050406030204" charset="0"/>
                  <a:cs typeface="Cambria Math" panose="02040503050406030204" charset="0"/>
                </a:rPr>
                <a:t>项目使用卡数</a:t>
              </a:r>
              <a:r>
                <a:rPr lang="en-US" altLang="zh-CN" sz="1100">
                  <a:latin typeface="Cambria Math" panose="02040503050406030204" charset="0"/>
                  <a:cs typeface="Cambria Math" panose="02040503050406030204" charset="0"/>
                </a:rPr>
                <a:t>*</a:t>
              </a:r>
              <a:r>
                <a:rPr lang="zh-CN" altLang="en-US" sz="1100">
                  <a:latin typeface="Cambria Math" panose="02040503050406030204" charset="0"/>
                  <a:cs typeface="Cambria Math" panose="02040503050406030204" charset="0"/>
                </a:rPr>
                <a:t>并发率</a:t>
              </a:r>
              <a:endParaRPr lang="zh-CN" altLang="en-US" sz="1100"/>
            </a:p>
          </xdr:txBody>
        </xdr:sp>
      </mc:Choice>
      <mc:Fallback xmlns:r="http://schemas.openxmlformats.org/officeDocument/2006/relationships" xmlns="">
        <xdr:sp>
          <xdr:nvSpPr>
            <xdr:cNvPr id="3" name="文本框 2"/>
            <xdr:cNvSpPr txBox="1"/>
          </xdr:nvSpPr>
          <xdr:spPr>
            <a:xfrm>
              <a:off x="6365240" y="1670685"/>
              <a:ext cx="4324350" cy="36766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r>
                <a:rPr lang="en-US" altLang="zh-CN" sz="1100">
                  <a:latin typeface="Cambria Math" panose="02040503050406030204" charset="0"/>
                  <a:cs typeface="Cambria Math" panose="02040503050406030204" charset="0"/>
                </a:rPr>
                <a:t>𝑈𝑃𝐹</a:t>
              </a:r>
              <a:r>
                <a:rPr lang="zh-CN" altLang="en-US" sz="1100">
                  <a:latin typeface="Cambria Math" panose="02040503050406030204" charset="0"/>
                  <a:cs typeface="Cambria Math" panose="02040503050406030204" charset="0"/>
                </a:rPr>
                <a:t>带宽</a:t>
              </a:r>
              <a:r>
                <a:rPr lang="en-US" altLang="zh-CN" sz="1100">
                  <a:latin typeface="Cambria Math" panose="02040503050406030204" charset="0"/>
                  <a:cs typeface="Cambria Math" panose="02040503050406030204" charset="0"/>
                </a:rPr>
                <a:t>=</a:t>
              </a:r>
              <a:r>
                <a:rPr lang="en-US" altLang="zh-CN" sz="1100">
                  <a:latin typeface="Cambria Math" panose="02040503050406030204" charset="0"/>
                  <a:cs typeface="Cambria Math" panose="02040503050406030204" charset="0"/>
                </a:rPr>
                <a:t>8</a:t>
              </a:r>
              <a:r>
                <a:rPr lang="en-US" altLang="zh-CN" sz="1100">
                  <a:latin typeface="Cambria Math" panose="02040503050406030204" charset="0"/>
                  <a:cs typeface="Cambria Math" panose="02040503050406030204" charset="0"/>
                </a:rPr>
                <a:t>∗</a:t>
              </a:r>
              <a:r>
                <a:rPr lang="zh-CN" altLang="en-US" sz="1100">
                  <a:latin typeface="Cambria Math" panose="02040503050406030204" charset="0"/>
                  <a:cs typeface="Cambria Math" panose="02040503050406030204" charset="0"/>
                </a:rPr>
                <a:t>流量档位（</a:t>
              </a:r>
              <a:r>
                <a:rPr lang="en-US" altLang="zh-CN" sz="1100">
                  <a:latin typeface="Cambria Math" panose="02040503050406030204" charset="0"/>
                  <a:cs typeface="Cambria Math" panose="02040503050406030204" charset="0"/>
                </a:rPr>
                <a:t>𝐺𝐵</a:t>
              </a:r>
              <a:r>
                <a:rPr lang="zh-CN" altLang="en-US" sz="1100">
                  <a:latin typeface="Cambria Math" panose="02040503050406030204" charset="0"/>
                  <a:cs typeface="Cambria Math" panose="02040503050406030204" charset="0"/>
                </a:rPr>
                <a:t>）</a:t>
              </a:r>
              <a:r>
                <a:rPr lang="en-US" altLang="zh-CN" sz="1100">
                  <a:latin typeface="Cambria Math" panose="02040503050406030204" charset="0"/>
                  <a:cs typeface="Cambria Math" panose="02040503050406030204" charset="0"/>
                </a:rPr>
                <a:t>∗</a:t>
              </a:r>
              <a:r>
                <a:rPr lang="en-US" altLang="zh-CN" sz="1100">
                  <a:latin typeface="Cambria Math" panose="02040503050406030204" charset="0"/>
                  <a:cs typeface="Cambria Math" panose="02040503050406030204" charset="0"/>
                </a:rPr>
                <a:t>1024</a:t>
              </a:r>
              <a:r>
                <a:rPr lang="en-US" altLang="zh-CN" sz="1100">
                  <a:latin typeface="Cambria Math" panose="02040503050406030204" charset="0"/>
                  <a:cs typeface="Cambria Math" panose="02040503050406030204" charset="0"/>
                </a:rPr>
                <a:t>/</a:t>
              </a:r>
              <a:r>
                <a:rPr lang="zh-CN" altLang="en-US" sz="1100">
                  <a:latin typeface="Cambria Math" panose="02040503050406030204" charset="0"/>
                  <a:cs typeface="Cambria Math" panose="02040503050406030204" charset="0"/>
                </a:rPr>
                <a:t>每卡每天使用小时数</a:t>
              </a:r>
              <a:r>
                <a:rPr lang="en-US" altLang="zh-CN" sz="1100">
                  <a:latin typeface="Cambria Math" panose="02040503050406030204" charset="0"/>
                  <a:cs typeface="Cambria Math" panose="02040503050406030204" charset="0"/>
                </a:rPr>
                <a:t>∗</a:t>
              </a:r>
              <a:r>
                <a:rPr lang="en-US" altLang="zh-CN" sz="1100">
                  <a:latin typeface="Cambria Math" panose="02040503050406030204" charset="0"/>
                  <a:cs typeface="Cambria Math" panose="02040503050406030204" charset="0"/>
                </a:rPr>
                <a:t>60</a:t>
              </a:r>
              <a:r>
                <a:rPr lang="en-US" altLang="zh-CN" sz="1100">
                  <a:latin typeface="Cambria Math" panose="02040503050406030204" charset="0"/>
                  <a:cs typeface="Cambria Math" panose="02040503050406030204" charset="0"/>
                </a:rPr>
                <a:t>∗</a:t>
              </a:r>
              <a:r>
                <a:rPr lang="en-US" altLang="zh-CN" sz="1100">
                  <a:latin typeface="Cambria Math" panose="02040503050406030204" charset="0"/>
                  <a:cs typeface="Cambria Math" panose="02040503050406030204" charset="0"/>
                </a:rPr>
                <a:t>60</a:t>
              </a:r>
              <a:r>
                <a:rPr lang="en-US" altLang="zh-CN" sz="1100">
                  <a:latin typeface="Cambria Math" panose="02040503050406030204" charset="0"/>
                  <a:cs typeface="Cambria Math" panose="02040503050406030204" charset="0"/>
                </a:rPr>
                <a:t>∗</a:t>
              </a:r>
              <a:r>
                <a:rPr lang="zh-CN" altLang="en-US" sz="1100">
                  <a:latin typeface="Cambria Math" panose="02040503050406030204" charset="0"/>
                  <a:cs typeface="Cambria Math" panose="02040503050406030204" charset="0"/>
                </a:rPr>
                <a:t>每卡每月使用天数</a:t>
              </a:r>
              <a:r>
                <a:rPr lang="en-US" altLang="zh-CN" sz="1100">
                  <a:latin typeface="Cambria Math" panose="02040503050406030204" charset="0"/>
                  <a:cs typeface="Cambria Math" panose="02040503050406030204" charset="0"/>
                </a:rPr>
                <a:t>∗</a:t>
              </a:r>
              <a:r>
                <a:rPr lang="zh-CN" altLang="en-US" sz="1100">
                  <a:latin typeface="Cambria Math" panose="02040503050406030204" charset="0"/>
                  <a:cs typeface="Cambria Math" panose="02040503050406030204" charset="0"/>
                </a:rPr>
                <a:t>项目使用卡数</a:t>
              </a:r>
              <a:r>
                <a:rPr lang="en-US" altLang="zh-CN" sz="1100">
                  <a:latin typeface="Cambria Math" panose="02040503050406030204" charset="0"/>
                  <a:cs typeface="Cambria Math" panose="02040503050406030204" charset="0"/>
                </a:rPr>
                <a:t>*</a:t>
              </a:r>
              <a:r>
                <a:rPr lang="zh-CN" altLang="en-US" sz="1100">
                  <a:latin typeface="Cambria Math" panose="02040503050406030204" charset="0"/>
                  <a:cs typeface="Cambria Math" panose="02040503050406030204" charset="0"/>
                </a:rPr>
                <a:t>并发率</a:t>
              </a:r>
              <a:endParaRPr lang="zh-CN" altLang="en-US" sz="1100"/>
            </a:p>
          </xdr:txBody>
        </xdr:sp>
      </mc:Fallback>
    </mc:AlternateContent>
    <xdr:clientData/>
  </xdr:oneCellAnchor>
  <xdr:oneCellAnchor>
    <xdr:from>
      <xdr:col>7</xdr:col>
      <xdr:colOff>129540</xdr:colOff>
      <xdr:row>7</xdr:row>
      <xdr:rowOff>1905</xdr:rowOff>
    </xdr:from>
    <xdr:ext cx="2301240" cy="277495"/>
    <xdr:sp macro="" textlink="">
      <xdr:nvSpPr>
        <xdr:cNvPr id="4" name="文本框 3"/>
        <xdr:cNvSpPr txBox="1"/>
      </xdr:nvSpPr>
      <xdr:spPr>
        <a:xfrm>
          <a:off x="8649335" y="1510030"/>
          <a:ext cx="2301240" cy="27749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r>
            <a:rPr lang="zh-CN" altLang="en-US" sz="1100">
              <a:latin typeface="Cambria Math" panose="02040503050406030204" charset="0"/>
              <a:cs typeface="Cambria Math" panose="02040503050406030204" charset="0"/>
            </a:rPr>
            <a:t>根据流量档位匹配</a:t>
          </a:r>
          <a:r>
            <a:rPr lang="en-US" altLang="zh-CN" sz="1100">
              <a:latin typeface="Cambria Math" panose="02040503050406030204" charset="0"/>
              <a:cs typeface="Cambria Math" panose="02040503050406030204" charset="0"/>
            </a:rPr>
            <a:t>B1</a:t>
          </a:r>
          <a:r>
            <a:rPr lang="zh-CN" altLang="en-US" sz="1100">
              <a:latin typeface="Cambria Math" panose="02040503050406030204" charset="0"/>
              <a:cs typeface="Cambria Math" panose="02040503050406030204" charset="0"/>
            </a:rPr>
            <a:t>定向流量资费</a:t>
          </a:r>
          <a:endParaRPr lang="en-US" altLang="zh-CN" sz="1100">
            <a:latin typeface="Cambria Math" panose="02040503050406030204" charset="0"/>
            <a:cs typeface="Cambria Math" panose="02040503050406030204" charset="0"/>
          </a:endParaRPr>
        </a:p>
      </xdr:txBody>
    </xdr:sp>
    <xdr:clientData/>
  </xdr:oneCellAnchor>
  <xdr:oneCellAnchor>
    <xdr:from>
      <xdr:col>11</xdr:col>
      <xdr:colOff>327660</xdr:colOff>
      <xdr:row>8</xdr:row>
      <xdr:rowOff>32385</xdr:rowOff>
    </xdr:from>
    <xdr:ext cx="1710055" cy="277495"/>
    <xdr:sp macro="" textlink="">
      <xdr:nvSpPr>
        <xdr:cNvPr id="5" name="文本框 4"/>
        <xdr:cNvSpPr txBox="1"/>
      </xdr:nvSpPr>
      <xdr:spPr>
        <a:xfrm>
          <a:off x="13622655" y="1750060"/>
          <a:ext cx="1710055" cy="27749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r>
            <a:rPr lang="zh-CN" altLang="en-US" sz="1100">
              <a:latin typeface="Cambria Math" panose="02040503050406030204" charset="0"/>
              <a:cs typeface="Cambria Math" panose="02040503050406030204" charset="0"/>
            </a:rPr>
            <a:t>根据</a:t>
          </a:r>
          <a:r>
            <a:rPr lang="en-US" altLang="zh-CN" sz="1100">
              <a:latin typeface="Cambria Math" panose="02040503050406030204" charset="0"/>
              <a:cs typeface="Cambria Math" panose="02040503050406030204" charset="0"/>
            </a:rPr>
            <a:t>UPF</a:t>
          </a:r>
          <a:r>
            <a:rPr lang="zh-CN" altLang="en-US" sz="1100">
              <a:latin typeface="Cambria Math" panose="02040503050406030204" charset="0"/>
              <a:cs typeface="Cambria Math" panose="02040503050406030204" charset="0"/>
            </a:rPr>
            <a:t>带宽匹配</a:t>
          </a:r>
          <a:r>
            <a:rPr lang="en-US" altLang="zh-CN" sz="1100">
              <a:latin typeface="Cambria Math" panose="02040503050406030204" charset="0"/>
              <a:cs typeface="Cambria Math" panose="02040503050406030204" charset="0"/>
            </a:rPr>
            <a:t>A3</a:t>
          </a:r>
          <a:r>
            <a:rPr lang="zh-CN" altLang="en-US" sz="1100">
              <a:latin typeface="Cambria Math" panose="02040503050406030204" charset="0"/>
              <a:cs typeface="Cambria Math" panose="02040503050406030204" charset="0"/>
            </a:rPr>
            <a:t>档位</a:t>
          </a:r>
          <a:endParaRPr lang="en-US" altLang="zh-CN" sz="1100">
            <a:latin typeface="Cambria Math" panose="02040503050406030204" charset="0"/>
            <a:cs typeface="Cambria Math" panose="02040503050406030204" charset="0"/>
          </a:endParaRPr>
        </a:p>
      </xdr:txBody>
    </xdr:sp>
    <xdr:clientData/>
  </xdr:oneCellAnchor>
</xdr:wsDr>
</file>

<file path=xl/drawings/drawing15.xml><?xml version="1.0" encoding="utf-8"?>
<xdr:wsDr xmlns:xdr="http://schemas.openxmlformats.org/drawingml/2006/spreadsheetDrawing" xmlns:a="http://schemas.openxmlformats.org/drawingml/2006/main">
  <xdr:oneCellAnchor>
    <xdr:from>
      <xdr:col>0</xdr:col>
      <xdr:colOff>539750</xdr:colOff>
      <xdr:row>1</xdr:row>
      <xdr:rowOff>0</xdr:rowOff>
    </xdr:from>
    <xdr:ext cx="9211789" cy="1092683"/>
    <xdr:sp macro="" textlink="">
      <xdr:nvSpPr>
        <xdr:cNvPr id="3" name="矩形 2"/>
        <xdr:cNvSpPr/>
      </xdr:nvSpPr>
      <xdr:spPr>
        <a:xfrm rot="19780304">
          <a:off x="539750" y="194310"/>
          <a:ext cx="9211310" cy="1092200"/>
        </a:xfrm>
        <a:prstGeom prst="rect">
          <a:avLst/>
        </a:prstGeom>
        <a:noFill/>
        <a:effectLst/>
      </xdr:spPr>
      <xdr:txBody>
        <a:bodyPr wrap="square" lIns="91440" tIns="45720" rIns="91440" bIns="45720">
          <a:noAutofit/>
        </a:bodyPr>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a:r>
            <a:rPr lang="zh-CN" altLang="en-US" sz="3600" b="1" cap="none" spc="0">
              <a:ln w="12700">
                <a:noFill/>
                <a:prstDash val="solid"/>
              </a:ln>
              <a:solidFill>
                <a:schemeClr val="tx2">
                  <a:alpha val="33000"/>
                </a:schemeClr>
              </a:solidFill>
              <a:effectLst/>
            </a:rPr>
            <a:t>仅供中国移动内部使用</a:t>
          </a:r>
        </a:p>
      </xdr:txBody>
    </xdr:sp>
    <xdr:clientData/>
  </xdr:oneCellAnchor>
  <xdr:oneCellAnchor>
    <xdr:from>
      <xdr:col>6</xdr:col>
      <xdr:colOff>840105</xdr:colOff>
      <xdr:row>1</xdr:row>
      <xdr:rowOff>0</xdr:rowOff>
    </xdr:from>
    <xdr:ext cx="9211789" cy="1041248"/>
    <xdr:sp macro="" textlink="">
      <xdr:nvSpPr>
        <xdr:cNvPr id="4" name="矩形 3"/>
        <xdr:cNvSpPr/>
      </xdr:nvSpPr>
      <xdr:spPr>
        <a:xfrm rot="19780304">
          <a:off x="7862570" y="194310"/>
          <a:ext cx="9211310" cy="1040765"/>
        </a:xfrm>
        <a:prstGeom prst="rect">
          <a:avLst/>
        </a:prstGeom>
        <a:noFill/>
        <a:effectLst/>
      </xdr:spPr>
      <xdr:txBody>
        <a:bodyPr wrap="square" lIns="91440" tIns="45720" rIns="91440" bIns="45720">
          <a:noAutofit/>
        </a:bodyPr>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a:r>
            <a:rPr lang="zh-CN" altLang="en-US" sz="3600" b="1" cap="none" spc="0">
              <a:ln w="12700">
                <a:noFill/>
                <a:prstDash val="solid"/>
              </a:ln>
              <a:solidFill>
                <a:schemeClr val="tx2">
                  <a:alpha val="33000"/>
                </a:schemeClr>
              </a:solidFill>
              <a:effectLst/>
            </a:rPr>
            <a:t>仅供中国移动内部使用</a:t>
          </a:r>
        </a:p>
      </xdr:txBody>
    </xdr:sp>
    <xdr:clientData/>
  </xdr:oneCellAnchor>
  <xdr:oneCellAnchor>
    <xdr:from>
      <xdr:col>7</xdr:col>
      <xdr:colOff>448310</xdr:colOff>
      <xdr:row>6</xdr:row>
      <xdr:rowOff>827405</xdr:rowOff>
    </xdr:from>
    <xdr:ext cx="9211789" cy="1041248"/>
    <xdr:sp macro="" textlink="">
      <xdr:nvSpPr>
        <xdr:cNvPr id="7" name="矩形 6"/>
        <xdr:cNvSpPr/>
      </xdr:nvSpPr>
      <xdr:spPr>
        <a:xfrm rot="19780304">
          <a:off x="9434830" y="3402965"/>
          <a:ext cx="9211310" cy="1040765"/>
        </a:xfrm>
        <a:prstGeom prst="rect">
          <a:avLst/>
        </a:prstGeom>
        <a:noFill/>
        <a:effectLst/>
      </xdr:spPr>
      <xdr:txBody>
        <a:bodyPr wrap="square" lIns="91440" tIns="45720" rIns="91440" bIns="45720">
          <a:noAutofit/>
        </a:bodyPr>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a:r>
            <a:rPr lang="zh-CN" altLang="en-US" sz="3600" b="1" cap="none" spc="0">
              <a:ln w="12700">
                <a:noFill/>
                <a:prstDash val="solid"/>
              </a:ln>
              <a:solidFill>
                <a:schemeClr val="tx2">
                  <a:alpha val="33000"/>
                </a:schemeClr>
              </a:solidFill>
              <a:effectLst/>
            </a:rPr>
            <a:t>仅供中国移动内部使用</a:t>
          </a:r>
        </a:p>
      </xdr:txBody>
    </xdr:sp>
    <xdr:clientData/>
  </xdr:oneCellAnchor>
  <xdr:oneCellAnchor>
    <xdr:from>
      <xdr:col>3</xdr:col>
      <xdr:colOff>38735</xdr:colOff>
      <xdr:row>7</xdr:row>
      <xdr:rowOff>384810</xdr:rowOff>
    </xdr:from>
    <xdr:ext cx="9211789" cy="1041248"/>
    <xdr:sp macro="" textlink="">
      <xdr:nvSpPr>
        <xdr:cNvPr id="10" name="矩形 9"/>
        <xdr:cNvSpPr/>
      </xdr:nvSpPr>
      <xdr:spPr>
        <a:xfrm rot="19780304">
          <a:off x="3167380" y="3798570"/>
          <a:ext cx="9211310" cy="1040765"/>
        </a:xfrm>
        <a:prstGeom prst="rect">
          <a:avLst/>
        </a:prstGeom>
        <a:noFill/>
        <a:effectLst/>
      </xdr:spPr>
      <xdr:txBody>
        <a:bodyPr wrap="square" lIns="91440" tIns="45720" rIns="91440" bIns="45720">
          <a:noAutofit/>
        </a:bodyPr>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a:r>
            <a:rPr lang="zh-CN" altLang="en-US" sz="3600" b="1" cap="none" spc="0">
              <a:ln w="12700">
                <a:noFill/>
                <a:prstDash val="solid"/>
              </a:ln>
              <a:solidFill>
                <a:schemeClr val="tx2">
                  <a:alpha val="33000"/>
                </a:schemeClr>
              </a:solidFill>
              <a:effectLst/>
            </a:rPr>
            <a:t>仅供中国移动内部使用</a:t>
          </a:r>
        </a:p>
      </xdr:txBody>
    </xdr:sp>
    <xdr:clientData/>
  </xdr:oneCellAnchor>
  <xdr:twoCellAnchor>
    <xdr:from>
      <xdr:col>1</xdr:col>
      <xdr:colOff>0</xdr:colOff>
      <xdr:row>11</xdr:row>
      <xdr:rowOff>0</xdr:rowOff>
    </xdr:from>
    <xdr:to>
      <xdr:col>16</xdr:col>
      <xdr:colOff>83820</xdr:colOff>
      <xdr:row>27</xdr:row>
      <xdr:rowOff>139700</xdr:rowOff>
    </xdr:to>
    <xdr:sp macro="" textlink="">
      <xdr:nvSpPr>
        <xdr:cNvPr id="11" name="矩形 10"/>
        <xdr:cNvSpPr/>
      </xdr:nvSpPr>
      <xdr:spPr>
        <a:xfrm>
          <a:off x="685800" y="6115685"/>
          <a:ext cx="19766280" cy="2984500"/>
        </a:xfrm>
        <a:prstGeom prst="rect">
          <a:avLst/>
        </a:prstGeom>
        <a:solidFill>
          <a:schemeClr val="bg2"/>
        </a:solidFill>
      </xdr:spPr>
      <xdr:txBody>
        <a:bodyPr wrap="square"/>
        <a:lstStyle>
          <a:defPPr>
            <a:defRPr lang="zh-CN"/>
          </a:defPPr>
          <a:lvl1pPr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1pPr>
          <a:lvl2pPr marL="457200"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2pPr>
          <a:lvl3pPr marL="914400"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3pPr>
          <a:lvl4pPr marL="1371600"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4pPr>
          <a:lvl5pPr marL="1828800" algn="l" rtl="0" eaLnBrk="0" fontAlgn="base" hangingPunct="0">
            <a:spcBef>
              <a:spcPct val="0"/>
            </a:spcBef>
            <a:spcAft>
              <a:spcPct val="0"/>
            </a:spcAft>
            <a:defRPr kern="1200">
              <a:solidFill>
                <a:schemeClr val="tx1"/>
              </a:solidFill>
              <a:latin typeface="Arial" panose="020B0604020202020204" pitchFamily="7" charset="0"/>
              <a:ea typeface="宋体" panose="02010600030101010101" pitchFamily="7" charset="-122"/>
              <a:cs typeface="+mn-cs"/>
            </a:defRPr>
          </a:lvl5pPr>
          <a:lvl6pPr marL="2286000" algn="l" defTabSz="914400" rtl="0" eaLnBrk="1" latinLnBrk="0" hangingPunct="1">
            <a:defRPr kern="1200">
              <a:solidFill>
                <a:schemeClr val="tx1"/>
              </a:solidFill>
              <a:latin typeface="Arial" panose="020B0604020202020204" pitchFamily="7" charset="0"/>
              <a:ea typeface="宋体" panose="02010600030101010101" pitchFamily="7" charset="-122"/>
              <a:cs typeface="+mn-cs"/>
            </a:defRPr>
          </a:lvl6pPr>
          <a:lvl7pPr marL="2743200" algn="l" defTabSz="914400" rtl="0" eaLnBrk="1" latinLnBrk="0" hangingPunct="1">
            <a:defRPr kern="1200">
              <a:solidFill>
                <a:schemeClr val="tx1"/>
              </a:solidFill>
              <a:latin typeface="Arial" panose="020B0604020202020204" pitchFamily="7" charset="0"/>
              <a:ea typeface="宋体" panose="02010600030101010101" pitchFamily="7" charset="-122"/>
              <a:cs typeface="+mn-cs"/>
            </a:defRPr>
          </a:lvl7pPr>
          <a:lvl8pPr marL="3200400" algn="l" defTabSz="914400" rtl="0" eaLnBrk="1" latinLnBrk="0" hangingPunct="1">
            <a:defRPr kern="1200">
              <a:solidFill>
                <a:schemeClr val="tx1"/>
              </a:solidFill>
              <a:latin typeface="Arial" panose="020B0604020202020204" pitchFamily="7" charset="0"/>
              <a:ea typeface="宋体" panose="02010600030101010101" pitchFamily="7" charset="-122"/>
              <a:cs typeface="+mn-cs"/>
            </a:defRPr>
          </a:lvl8pPr>
          <a:lvl9pPr marL="3657600" algn="l" defTabSz="914400" rtl="0" eaLnBrk="1" latinLnBrk="0" hangingPunct="1">
            <a:defRPr kern="1200">
              <a:solidFill>
                <a:schemeClr val="tx1"/>
              </a:solidFill>
              <a:latin typeface="Arial" panose="020B0604020202020204" pitchFamily="7" charset="0"/>
              <a:ea typeface="宋体" panose="02010600030101010101" pitchFamily="7" charset="-122"/>
              <a:cs typeface="+mn-cs"/>
            </a:defRPr>
          </a:lvl9pPr>
        </a:lstStyle>
        <a:p>
          <a:pPr marL="467995" indent="-457200">
            <a:lnSpc>
              <a:spcPct val="120000"/>
            </a:lnSpc>
            <a:buFont typeface="Wingdings" panose="05000000000000000000" pitchFamily="2" charset="2"/>
            <a:buChar char="p"/>
          </a:pPr>
          <a:r>
            <a:rPr lang="zh-CN" altLang="zh-CN" sz="1200" b="1">
              <a:solidFill>
                <a:srgbClr val="000000"/>
              </a:solidFill>
              <a:latin typeface="微软雅黑" panose="020B0503020204020204" pitchFamily="34" charset="-122"/>
              <a:ea typeface="微软雅黑" panose="020B0503020204020204" pitchFamily="34" charset="-122"/>
            </a:rPr>
            <a:t>资费上架前使用说明：</a:t>
          </a:r>
          <a:r>
            <a:rPr lang="zh-CN" altLang="en-US" sz="1200" dirty="0">
              <a:latin typeface="微软雅黑" panose="020B0503020204020204" pitchFamily="34" charset="-122"/>
              <a:ea typeface="微软雅黑" panose="020B0503020204020204" pitchFamily="34" charset="-122"/>
              <a:cs typeface="微软雅黑" panose="020B0503020204020204" pitchFamily="34" charset="-122"/>
              <a:sym typeface="+mn-ea"/>
            </a:rPr>
            <a:t>为支撑一线业务拓展，资费上架前，按照特殊资费审批流程落地，即省内按照流量特殊资费的审批流程决策通过后报集团审批，集团内由产能部和市场部共同把控，产能部负责判断所申请流量卡是否用于5G快线产品、是否按照该产品形态各项管控举措执行，市场部负责把控资费，超套关停，两部同意后方可办理</a:t>
          </a:r>
          <a:endParaRPr lang="zh-CN" altLang="en-US" sz="1200" dirty="0">
            <a:latin typeface="微软雅黑" panose="020B0503020204020204" pitchFamily="34" charset="-122"/>
            <a:ea typeface="微软雅黑" panose="020B0503020204020204" pitchFamily="34" charset="-122"/>
            <a:cs typeface="微软雅黑" panose="020B0503020204020204" pitchFamily="34" charset="-122"/>
          </a:endParaRPr>
        </a:p>
        <a:p>
          <a:pPr marL="467995" indent="-457200">
            <a:lnSpc>
              <a:spcPct val="120000"/>
            </a:lnSpc>
            <a:buFont typeface="Wingdings" panose="05000000000000000000" pitchFamily="2" charset="2"/>
            <a:buChar char="p"/>
          </a:pPr>
          <a:r>
            <a:rPr lang="zh-CN" altLang="en-US" sz="1200" b="1">
              <a:solidFill>
                <a:srgbClr val="000000"/>
              </a:solidFill>
              <a:latin typeface="微软雅黑" panose="020B0503020204020204" pitchFamily="34" charset="-122"/>
              <a:ea typeface="微软雅黑" panose="020B0503020204020204" pitchFamily="34" charset="-122"/>
            </a:rPr>
            <a:t>业务规则：</a:t>
          </a:r>
        </a:p>
        <a:p>
          <a:pPr marL="10795" marR="0" lvl="0" indent="0" algn="l" defTabSz="914400" rtl="0" latinLnBrk="0">
            <a:lnSpc>
              <a:spcPct val="120000"/>
            </a:lnSpc>
            <a:spcBef>
              <a:spcPts val="0"/>
            </a:spcBef>
            <a:buClrTx/>
            <a:buSzTx/>
            <a:buFont typeface="Wingdings" panose="05000000000000000000" pitchFamily="2" charset="2"/>
            <a:buNone/>
          </a:pPr>
          <a:r>
            <a:rPr lang="en-US" altLang="zh-CN" sz="1200" dirty="0">
              <a:latin typeface="微软雅黑" panose="020B0503020204020204" pitchFamily="34" charset="-122"/>
              <a:ea typeface="微软雅黑" panose="020B0503020204020204" pitchFamily="34" charset="-122"/>
              <a:cs typeface="微软雅黑" panose="020B0503020204020204" pitchFamily="34" charset="-122"/>
              <a:sym typeface="+mn-ea"/>
            </a:rPr>
            <a:t>                          </a:t>
          </a:r>
          <a:r>
            <a:rPr lang="zh-CN" altLang="en-US" sz="1200" dirty="0">
              <a:latin typeface="微软雅黑" panose="020B0503020204020204" pitchFamily="34" charset="-122"/>
              <a:ea typeface="微软雅黑" panose="020B0503020204020204" pitchFamily="34" charset="-122"/>
              <a:cs typeface="微软雅黑" panose="020B0503020204020204" pitchFamily="34" charset="-122"/>
              <a:sym typeface="+mn-ea"/>
            </a:rPr>
            <a:t>1）</a:t>
          </a:r>
          <a:r>
            <a:rPr lang="zh-CN" altLang="en-US" sz="1200" dirty="0">
              <a:solidFill>
                <a:srgbClr val="FF0000"/>
              </a:solidFill>
              <a:latin typeface="微软雅黑" panose="020B0503020204020204" pitchFamily="34" charset="-122"/>
              <a:ea typeface="微软雅黑" panose="020B0503020204020204" pitchFamily="34" charset="-122"/>
              <a:cs typeface="微软雅黑" panose="020B0503020204020204" pitchFamily="34" charset="-122"/>
              <a:sym typeface="+mn-ea"/>
            </a:rPr>
            <a:t>本次商品不支持打折</a:t>
          </a:r>
          <a:r>
            <a:rPr lang="zh-CN" altLang="en-US" sz="1200" dirty="0">
              <a:latin typeface="微软雅黑" panose="020B0503020204020204" pitchFamily="34" charset="-122"/>
              <a:ea typeface="微软雅黑" panose="020B0503020204020204" pitchFamily="34" charset="-122"/>
              <a:cs typeface="微软雅黑" panose="020B0503020204020204" pitchFamily="34" charset="-122"/>
              <a:sym typeface="+mn-ea"/>
            </a:rPr>
            <a:t>，一次性预存收费，收入按月均摊。</a:t>
          </a:r>
          <a:endParaRPr kumimoji="0" lang="zh-CN" altLang="en-US" sz="1200" i="0" u="none" strike="noStrike" kern="1200" cap="none" spc="0" normalizeH="0" baseline="0" dirty="0">
            <a:latin typeface="微软雅黑" panose="020B0503020204020204" pitchFamily="34" charset="-122"/>
            <a:ea typeface="微软雅黑" panose="020B0503020204020204" pitchFamily="34" charset="-122"/>
            <a:cs typeface="微软雅黑" panose="020B0503020204020204" pitchFamily="34" charset="-122"/>
          </a:endParaRPr>
        </a:p>
        <a:p>
          <a:pPr marL="10795" marR="0" lvl="0" indent="0" algn="l" defTabSz="914400" rtl="0" latinLnBrk="0">
            <a:lnSpc>
              <a:spcPct val="120000"/>
            </a:lnSpc>
            <a:spcBef>
              <a:spcPts val="0"/>
            </a:spcBef>
            <a:buClrTx/>
            <a:buSzTx/>
            <a:buFont typeface="Wingdings" panose="05000000000000000000" pitchFamily="2" charset="2"/>
            <a:buNone/>
          </a:pPr>
          <a:r>
            <a:rPr lang="en-US" altLang="zh-CN" sz="1200" dirty="0">
              <a:latin typeface="微软雅黑" panose="020B0503020204020204" pitchFamily="34" charset="-122"/>
              <a:ea typeface="微软雅黑" panose="020B0503020204020204" pitchFamily="34" charset="-122"/>
              <a:cs typeface="微软雅黑" panose="020B0503020204020204" pitchFamily="34" charset="-122"/>
              <a:sym typeface="+mn-ea"/>
            </a:rPr>
            <a:t>                          </a:t>
          </a:r>
          <a:r>
            <a:rPr lang="zh-CN" altLang="en-US" sz="1200" dirty="0">
              <a:latin typeface="微软雅黑" panose="020B0503020204020204" pitchFamily="34" charset="-122"/>
              <a:ea typeface="微软雅黑" panose="020B0503020204020204" pitchFamily="34" charset="-122"/>
              <a:cs typeface="微软雅黑" panose="020B0503020204020204" pitchFamily="34" charset="-122"/>
              <a:sym typeface="+mn-ea"/>
            </a:rPr>
            <a:t>2）本次商品订购支持立即生效、指定日期生效、下月生效；</a:t>
          </a:r>
          <a:r>
            <a:rPr lang="zh-CN" altLang="en-US" sz="1200" dirty="0">
              <a:solidFill>
                <a:srgbClr val="FF0000"/>
              </a:solidFill>
              <a:latin typeface="微软雅黑" panose="020B0503020204020204" pitchFamily="34" charset="-122"/>
              <a:ea typeface="微软雅黑" panose="020B0503020204020204" pitchFamily="34" charset="-122"/>
              <a:cs typeface="微软雅黑" panose="020B0503020204020204" pitchFamily="34" charset="-122"/>
              <a:sym typeface="+mn-ea"/>
            </a:rPr>
            <a:t>已生效的不允许退订</a:t>
          </a:r>
          <a:r>
            <a:rPr lang="zh-CN" altLang="en-US" sz="1200" dirty="0">
              <a:latin typeface="微软雅黑" panose="020B0503020204020204" pitchFamily="34" charset="-122"/>
              <a:ea typeface="微软雅黑" panose="020B0503020204020204" pitchFamily="34" charset="-122"/>
              <a:cs typeface="微软雅黑" panose="020B0503020204020204" pitchFamily="34" charset="-122"/>
              <a:sym typeface="+mn-ea"/>
            </a:rPr>
            <a:t>、未生效（用户未激活或未到商品生效时间）支持立即退订。</a:t>
          </a:r>
          <a:endParaRPr kumimoji="0" lang="zh-CN" altLang="en-US" sz="1200" i="0" u="none" strike="noStrike" kern="1200" cap="none" spc="0" normalizeH="0" baseline="0" dirty="0">
            <a:latin typeface="微软雅黑" panose="020B0503020204020204" pitchFamily="34" charset="-122"/>
            <a:ea typeface="微软雅黑" panose="020B0503020204020204" pitchFamily="34" charset="-122"/>
            <a:cs typeface="微软雅黑" panose="020B0503020204020204" pitchFamily="34" charset="-122"/>
          </a:endParaRPr>
        </a:p>
        <a:p>
          <a:pPr marL="10795" marR="0" lvl="0" indent="0" algn="l" defTabSz="914400" rtl="0" latinLnBrk="0">
            <a:lnSpc>
              <a:spcPct val="120000"/>
            </a:lnSpc>
            <a:spcBef>
              <a:spcPts val="0"/>
            </a:spcBef>
            <a:buClrTx/>
            <a:buSzTx/>
            <a:buFont typeface="Wingdings" panose="05000000000000000000" pitchFamily="2" charset="2"/>
            <a:buNone/>
          </a:pPr>
          <a:r>
            <a:rPr lang="en-US" altLang="zh-CN" sz="1200" dirty="0">
              <a:latin typeface="微软雅黑" panose="020B0503020204020204" pitchFamily="34" charset="-122"/>
              <a:ea typeface="微软雅黑" panose="020B0503020204020204" pitchFamily="34" charset="-122"/>
              <a:cs typeface="微软雅黑" panose="020B0503020204020204" pitchFamily="34" charset="-122"/>
              <a:sym typeface="+mn-ea"/>
            </a:rPr>
            <a:t>                          </a:t>
          </a:r>
          <a:r>
            <a:rPr lang="zh-CN" altLang="en-US" sz="1200" dirty="0">
              <a:latin typeface="微软雅黑" panose="020B0503020204020204" pitchFamily="34" charset="-122"/>
              <a:ea typeface="微软雅黑" panose="020B0503020204020204" pitchFamily="34" charset="-122"/>
              <a:cs typeface="微软雅黑" panose="020B0503020204020204" pitchFamily="34" charset="-122"/>
              <a:sym typeface="+mn-ea"/>
            </a:rPr>
            <a:t>3）单卡支持设置自动续订。</a:t>
          </a:r>
        </a:p>
        <a:p>
          <a:pPr marL="10795" marR="0" lvl="0" indent="0" algn="l" defTabSz="914400" rtl="0" latinLnBrk="0">
            <a:lnSpc>
              <a:spcPct val="120000"/>
            </a:lnSpc>
            <a:spcBef>
              <a:spcPts val="0"/>
            </a:spcBef>
            <a:buClrTx/>
            <a:buSzTx/>
            <a:buFont typeface="Wingdings" panose="05000000000000000000" pitchFamily="2" charset="2"/>
            <a:buNone/>
          </a:pPr>
          <a:r>
            <a:rPr lang="zh-CN" altLang="en-US" sz="1200" dirty="0">
              <a:latin typeface="微软雅黑" panose="020B0503020204020204" pitchFamily="34" charset="-122"/>
              <a:ea typeface="微软雅黑" panose="020B0503020204020204" pitchFamily="34" charset="-122"/>
              <a:cs typeface="微软雅黑" panose="020B0503020204020204" pitchFamily="34" charset="-122"/>
              <a:sym typeface="+mn-ea"/>
            </a:rPr>
            <a:t> </a:t>
          </a:r>
          <a:r>
            <a:rPr lang="en-US" altLang="zh-CN" sz="1200" dirty="0">
              <a:latin typeface="微软雅黑" panose="020B0503020204020204" pitchFamily="34" charset="-122"/>
              <a:ea typeface="微软雅黑" panose="020B0503020204020204" pitchFamily="34" charset="-122"/>
              <a:cs typeface="微软雅黑" panose="020B0503020204020204" pitchFamily="34" charset="-122"/>
              <a:sym typeface="+mn-ea"/>
            </a:rPr>
            <a:t>                         </a:t>
          </a:r>
          <a:r>
            <a:rPr lang="zh-CN" altLang="en-US" sz="1200" dirty="0">
              <a:latin typeface="微软雅黑" panose="020B0503020204020204" pitchFamily="34" charset="-122"/>
              <a:ea typeface="微软雅黑" panose="020B0503020204020204" pitchFamily="34" charset="-122"/>
              <a:cs typeface="微软雅黑" panose="020B0503020204020204" pitchFamily="34" charset="-122"/>
              <a:sym typeface="+mn-ea"/>
            </a:rPr>
            <a:t>4）本次商品与现有流量资费商品（现有测试期资费除外）用户级互斥，本次商品间DNN/PCC级互斥。</a:t>
          </a:r>
          <a:endParaRPr kumimoji="0" lang="zh-CN" altLang="en-US" sz="1200" i="0" u="none" strike="noStrike" kern="1200" cap="none" spc="0" normalizeH="0" baseline="0" dirty="0">
            <a:latin typeface="微软雅黑" panose="020B0503020204020204" pitchFamily="34" charset="-122"/>
            <a:ea typeface="微软雅黑" panose="020B0503020204020204" pitchFamily="34" charset="-122"/>
            <a:cs typeface="微软雅黑" panose="020B0503020204020204" pitchFamily="34" charset="-122"/>
          </a:endParaRPr>
        </a:p>
        <a:p>
          <a:pPr marL="10795" marR="0" lvl="0" indent="0" algn="l" defTabSz="914400" rtl="0" latinLnBrk="0">
            <a:lnSpc>
              <a:spcPct val="120000"/>
            </a:lnSpc>
            <a:spcBef>
              <a:spcPts val="0"/>
            </a:spcBef>
            <a:buClrTx/>
            <a:buSzTx/>
            <a:buFont typeface="Wingdings" panose="05000000000000000000" pitchFamily="2" charset="2"/>
            <a:buNone/>
          </a:pPr>
          <a:r>
            <a:rPr lang="en-US" altLang="zh-CN" sz="1200" dirty="0">
              <a:latin typeface="微软雅黑" panose="020B0503020204020204" pitchFamily="34" charset="-122"/>
              <a:ea typeface="微软雅黑" panose="020B0503020204020204" pitchFamily="34" charset="-122"/>
              <a:cs typeface="微软雅黑" panose="020B0503020204020204" pitchFamily="34" charset="-122"/>
              <a:sym typeface="+mn-ea"/>
            </a:rPr>
            <a:t>                          </a:t>
          </a:r>
          <a:r>
            <a:rPr lang="zh-CN" altLang="en-US" sz="1200" dirty="0">
              <a:latin typeface="微软雅黑" panose="020B0503020204020204" pitchFamily="34" charset="-122"/>
              <a:ea typeface="微软雅黑" panose="020B0503020204020204" pitchFamily="34" charset="-122"/>
              <a:cs typeface="微软雅黑" panose="020B0503020204020204" pitchFamily="34" charset="-122"/>
              <a:sym typeface="+mn-ea"/>
            </a:rPr>
            <a:t>5）本次商品依赖于对应权益且相同DNN的通用数据通信服务（5G SA）、专用数据通信服务（5G SA）。</a:t>
          </a:r>
          <a:endParaRPr kumimoji="0" lang="zh-CN" altLang="en-US" sz="1200" i="0" u="none" strike="noStrike" kern="1200" cap="none" spc="0" normalizeH="0" baseline="0" dirty="0">
            <a:latin typeface="微软雅黑" panose="020B0503020204020204" pitchFamily="34" charset="-122"/>
            <a:ea typeface="微软雅黑" panose="020B0503020204020204" pitchFamily="34" charset="-122"/>
            <a:cs typeface="微软雅黑" panose="020B0503020204020204" pitchFamily="34" charset="-122"/>
          </a:endParaRPr>
        </a:p>
        <a:p>
          <a:pPr marL="10795" marR="0" lvl="0" indent="0" algn="l" defTabSz="914400" rtl="0" latinLnBrk="0">
            <a:lnSpc>
              <a:spcPct val="120000"/>
            </a:lnSpc>
            <a:spcBef>
              <a:spcPts val="0"/>
            </a:spcBef>
            <a:buClrTx/>
            <a:buSzTx/>
            <a:buFont typeface="Wingdings" panose="05000000000000000000" pitchFamily="2" charset="2"/>
            <a:buNone/>
          </a:pPr>
          <a:r>
            <a:rPr lang="en-US" altLang="zh-CN" sz="1200" dirty="0">
              <a:latin typeface="微软雅黑" panose="020B0503020204020204" pitchFamily="34" charset="-122"/>
              <a:ea typeface="微软雅黑" panose="020B0503020204020204" pitchFamily="34" charset="-122"/>
              <a:cs typeface="微软雅黑" panose="020B0503020204020204" pitchFamily="34" charset="-122"/>
              <a:sym typeface="+mn-ea"/>
            </a:rPr>
            <a:t>                          </a:t>
          </a:r>
          <a:r>
            <a:rPr lang="zh-CN" altLang="en-US" sz="1200" dirty="0">
              <a:latin typeface="微软雅黑" panose="020B0503020204020204" pitchFamily="34" charset="-122"/>
              <a:ea typeface="微软雅黑" panose="020B0503020204020204" pitchFamily="34" charset="-122"/>
              <a:cs typeface="微软雅黑" panose="020B0503020204020204" pitchFamily="34" charset="-122"/>
              <a:sym typeface="+mn-ea"/>
            </a:rPr>
            <a:t>6）</a:t>
          </a:r>
          <a:r>
            <a:rPr lang="zh-CN" altLang="en-US" sz="1200" dirty="0">
              <a:solidFill>
                <a:srgbClr val="FF0000"/>
              </a:solidFill>
              <a:latin typeface="微软雅黑" panose="020B0503020204020204" pitchFamily="34" charset="-122"/>
              <a:ea typeface="微软雅黑" panose="020B0503020204020204" pitchFamily="34" charset="-122"/>
              <a:cs typeface="微软雅黑" panose="020B0503020204020204" pitchFamily="34" charset="-122"/>
              <a:sym typeface="+mn-ea"/>
            </a:rPr>
            <a:t>订购本次商品需订购达量降速策略，无双封顶。</a:t>
          </a:r>
          <a:endParaRPr kumimoji="0" lang="zh-CN" altLang="en-US" sz="1200" i="0" u="none" strike="noStrike" kern="1200" cap="none" spc="0" normalizeH="0" baseline="0" dirty="0">
            <a:latin typeface="微软雅黑" panose="020B0503020204020204" pitchFamily="34" charset="-122"/>
            <a:ea typeface="微软雅黑" panose="020B0503020204020204" pitchFamily="34" charset="-122"/>
            <a:cs typeface="微软雅黑" panose="020B0503020204020204" pitchFamily="34" charset="-122"/>
          </a:endParaRPr>
        </a:p>
        <a:p>
          <a:pPr marL="10795" marR="0" lvl="0" indent="0" algn="l" defTabSz="914400" rtl="0" latinLnBrk="0">
            <a:lnSpc>
              <a:spcPct val="120000"/>
            </a:lnSpc>
            <a:spcBef>
              <a:spcPts val="0"/>
            </a:spcBef>
            <a:buClrTx/>
            <a:buSzTx/>
            <a:buFont typeface="Wingdings" panose="05000000000000000000" pitchFamily="2" charset="2"/>
            <a:buNone/>
          </a:pPr>
          <a:r>
            <a:rPr lang="en-US" altLang="zh-CN" sz="1200" dirty="0">
              <a:latin typeface="微软雅黑" panose="020B0503020204020204" pitchFamily="34" charset="-122"/>
              <a:ea typeface="微软雅黑" panose="020B0503020204020204" pitchFamily="34" charset="-122"/>
              <a:cs typeface="微软雅黑" panose="020B0503020204020204" pitchFamily="34" charset="-122"/>
              <a:sym typeface="+mn-ea"/>
            </a:rPr>
            <a:t>                          </a:t>
          </a:r>
          <a:r>
            <a:rPr lang="zh-CN" altLang="en-US" sz="1200" dirty="0">
              <a:latin typeface="微软雅黑" panose="020B0503020204020204" pitchFamily="34" charset="-122"/>
              <a:ea typeface="微软雅黑" panose="020B0503020204020204" pitchFamily="34" charset="-122"/>
              <a:cs typeface="微软雅黑" panose="020B0503020204020204" pitchFamily="34" charset="-122"/>
              <a:sym typeface="+mn-ea"/>
            </a:rPr>
            <a:t>7）</a:t>
          </a:r>
          <a:r>
            <a:rPr lang="zh-CN" altLang="en-US" sz="1200" dirty="0">
              <a:solidFill>
                <a:srgbClr val="FF0000"/>
              </a:solidFill>
              <a:latin typeface="微软雅黑" panose="020B0503020204020204" pitchFamily="34" charset="-122"/>
              <a:ea typeface="微软雅黑" panose="020B0503020204020204" pitchFamily="34" charset="-122"/>
              <a:cs typeface="微软雅黑" panose="020B0503020204020204" pitchFamily="34" charset="-122"/>
              <a:sym typeface="+mn-ea"/>
            </a:rPr>
            <a:t>签约场景为“车联网卡”的不允许订购本次商品。</a:t>
          </a:r>
          <a:endParaRPr kumimoji="0" lang="zh-CN" altLang="en-US" sz="1200" i="0" u="none" strike="noStrike" kern="1200" cap="none" spc="0" normalizeH="0" baseline="0" dirty="0">
            <a:solidFill>
              <a:srgbClr val="FF0000"/>
            </a:solidFill>
            <a:latin typeface="微软雅黑" panose="020B0503020204020204" pitchFamily="34" charset="-122"/>
            <a:ea typeface="微软雅黑" panose="020B0503020204020204" pitchFamily="34" charset="-122"/>
            <a:cs typeface="微软雅黑" panose="020B0503020204020204" pitchFamily="34" charset="-122"/>
          </a:endParaRPr>
        </a:p>
        <a:p>
          <a:pPr marL="10795" marR="0" lvl="0" indent="0" algn="l" defTabSz="914400" rtl="0" latinLnBrk="0">
            <a:lnSpc>
              <a:spcPct val="120000"/>
            </a:lnSpc>
            <a:spcBef>
              <a:spcPts val="0"/>
            </a:spcBef>
            <a:buClrTx/>
            <a:buSzTx/>
            <a:buFont typeface="Wingdings" panose="05000000000000000000" pitchFamily="2" charset="2"/>
            <a:buNone/>
          </a:pPr>
          <a:r>
            <a:rPr lang="en-US" altLang="zh-CN" sz="1200" dirty="0">
              <a:latin typeface="微软雅黑" panose="020B0503020204020204" pitchFamily="34" charset="-122"/>
              <a:ea typeface="微软雅黑" panose="020B0503020204020204" pitchFamily="34" charset="-122"/>
              <a:cs typeface="微软雅黑" panose="020B0503020204020204" pitchFamily="34" charset="-122"/>
              <a:sym typeface="+mn-ea"/>
            </a:rPr>
            <a:t>                          </a:t>
          </a:r>
          <a:r>
            <a:rPr lang="zh-CN" altLang="en-US" sz="1200" dirty="0">
              <a:latin typeface="微软雅黑" panose="020B0503020204020204" pitchFamily="34" charset="-122"/>
              <a:ea typeface="微软雅黑" panose="020B0503020204020204" pitchFamily="34" charset="-122"/>
              <a:cs typeface="微软雅黑" panose="020B0503020204020204" pitchFamily="34" charset="-122"/>
              <a:sym typeface="+mn-ea"/>
            </a:rPr>
            <a:t>8）安全管控要求：</a:t>
          </a:r>
          <a:r>
            <a:rPr lang="zh-CN" altLang="en-US" sz="1200" dirty="0">
              <a:solidFill>
                <a:srgbClr val="FF0000"/>
              </a:solidFill>
              <a:latin typeface="微软雅黑" panose="020B0503020204020204" pitchFamily="34" charset="-122"/>
              <a:ea typeface="微软雅黑" panose="020B0503020204020204" pitchFamily="34" charset="-122"/>
              <a:cs typeface="微软雅黑" panose="020B0503020204020204" pitchFamily="34" charset="-122"/>
              <a:sym typeface="+mn-ea"/>
            </a:rPr>
            <a:t>仅允许使用贴片卡，且接入OneCyber平台，限定区域-锁定 50个TAC码，并做好实名认证</a:t>
          </a:r>
          <a:r>
            <a:rPr lang="zh-CN" altLang="en-US" sz="1200" dirty="0">
              <a:latin typeface="微软雅黑" panose="020B0503020204020204" pitchFamily="34" charset="-122"/>
              <a:ea typeface="微软雅黑" panose="020B0503020204020204" pitchFamily="34" charset="-122"/>
              <a:cs typeface="微软雅黑" panose="020B0503020204020204" pitchFamily="34" charset="-122"/>
              <a:sym typeface="+mn-ea"/>
            </a:rPr>
            <a:t>。</a:t>
          </a:r>
          <a:endParaRPr kumimoji="0" lang="zh-CN" altLang="en-US" sz="1200" i="0" u="none" strike="noStrike" kern="1200" cap="none" spc="0" normalizeH="0" baseline="0" dirty="0">
            <a:latin typeface="微软雅黑" panose="020B0503020204020204" pitchFamily="34" charset="-122"/>
            <a:ea typeface="微软雅黑" panose="020B0503020204020204" pitchFamily="34" charset="-122"/>
            <a:cs typeface="微软雅黑" panose="020B0503020204020204" pitchFamily="34" charset="-122"/>
          </a:endParaRPr>
        </a:p>
        <a:p>
          <a:pPr marL="467995" indent="-457200" algn="l">
            <a:lnSpc>
              <a:spcPct val="120000"/>
            </a:lnSpc>
            <a:buClrTx/>
            <a:buSzTx/>
            <a:buFont typeface="Wingdings" panose="05000000000000000000" pitchFamily="2" charset="2"/>
            <a:buChar char="p"/>
          </a:pPr>
          <a:endParaRPr lang="zh-CN" altLang="en-US" sz="1200" dirty="0">
            <a:latin typeface="微软雅黑" panose="020B0503020204020204" pitchFamily="34" charset="-122"/>
            <a:ea typeface="微软雅黑" panose="020B0503020204020204" pitchFamily="34" charset="-122"/>
            <a:cs typeface="微软雅黑" panose="020B0503020204020204" pitchFamily="34" charset="-122"/>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E29"/>
  <sheetViews>
    <sheetView showGridLines="0" tabSelected="1" zoomScale="60" zoomScaleNormal="60" workbookViewId="0">
      <selection activeCell="G20" sqref="G20"/>
    </sheetView>
  </sheetViews>
  <sheetFormatPr defaultColWidth="9" defaultRowHeight="14"/>
  <cols>
    <col min="1" max="1" width="14.33203125" customWidth="1"/>
    <col min="2" max="2" width="38.08203125" style="192" customWidth="1"/>
    <col min="3" max="3" width="74.33203125" customWidth="1"/>
    <col min="4" max="4" width="78.9140625" customWidth="1"/>
    <col min="5" max="5" width="17.25" customWidth="1"/>
    <col min="6" max="6" width="13.08203125" customWidth="1"/>
    <col min="7" max="7" width="20.25" customWidth="1"/>
  </cols>
  <sheetData>
    <row r="1" spans="1:5">
      <c r="A1" s="214" t="s">
        <v>0</v>
      </c>
      <c r="B1" s="215"/>
      <c r="C1" s="215"/>
      <c r="D1" s="215"/>
      <c r="E1" s="216"/>
    </row>
    <row r="2" spans="1:5">
      <c r="A2" s="217"/>
      <c r="B2" s="218"/>
      <c r="C2" s="218"/>
      <c r="D2" s="218"/>
      <c r="E2" s="219"/>
    </row>
    <row r="3" spans="1:5" ht="20">
      <c r="A3" s="193" t="s">
        <v>1</v>
      </c>
      <c r="B3" s="193" t="s">
        <v>2</v>
      </c>
      <c r="C3" s="193" t="s">
        <v>3</v>
      </c>
      <c r="D3" s="193" t="s">
        <v>4</v>
      </c>
      <c r="E3" s="193" t="s">
        <v>5</v>
      </c>
    </row>
    <row r="4" spans="1:5" ht="17" customHeight="1">
      <c r="A4" s="208" t="s">
        <v>6</v>
      </c>
      <c r="B4" s="194" t="s">
        <v>7</v>
      </c>
      <c r="C4" s="195" t="s">
        <v>8</v>
      </c>
      <c r="D4" s="196" t="s">
        <v>9</v>
      </c>
      <c r="E4" s="197"/>
    </row>
    <row r="5" spans="1:5" ht="17" customHeight="1">
      <c r="A5" s="208"/>
      <c r="B5" s="209" t="s">
        <v>10</v>
      </c>
      <c r="C5" s="195" t="s">
        <v>11</v>
      </c>
      <c r="D5" s="196" t="s">
        <v>9</v>
      </c>
      <c r="E5" s="213" t="s">
        <v>12</v>
      </c>
    </row>
    <row r="6" spans="1:5" ht="17" customHeight="1">
      <c r="A6" s="208"/>
      <c r="B6" s="209"/>
      <c r="C6" s="195" t="s">
        <v>13</v>
      </c>
      <c r="D6" s="198" t="s">
        <v>9</v>
      </c>
      <c r="E6" s="213"/>
    </row>
    <row r="7" spans="1:5" ht="17" customHeight="1">
      <c r="A7" s="208"/>
      <c r="B7" s="209"/>
      <c r="C7" s="199" t="s">
        <v>14</v>
      </c>
      <c r="D7" s="200" t="s">
        <v>15</v>
      </c>
      <c r="E7" s="213"/>
    </row>
    <row r="8" spans="1:5" ht="17" customHeight="1">
      <c r="A8" s="208"/>
      <c r="B8" s="209"/>
      <c r="C8" s="201" t="s">
        <v>16</v>
      </c>
      <c r="D8" s="200" t="s">
        <v>15</v>
      </c>
      <c r="E8" s="213"/>
    </row>
    <row r="9" spans="1:5" ht="17" customHeight="1">
      <c r="A9" s="208"/>
      <c r="B9" s="194" t="s">
        <v>17</v>
      </c>
      <c r="C9" s="202" t="s">
        <v>18</v>
      </c>
      <c r="D9" s="198" t="s">
        <v>9</v>
      </c>
      <c r="E9" s="200" t="s">
        <v>12</v>
      </c>
    </row>
    <row r="10" spans="1:5" ht="17" customHeight="1">
      <c r="A10" s="208" t="s">
        <v>19</v>
      </c>
      <c r="B10" s="194" t="s">
        <v>20</v>
      </c>
      <c r="C10" s="195" t="s">
        <v>21</v>
      </c>
      <c r="D10" s="203" t="s">
        <v>9</v>
      </c>
      <c r="E10" s="197"/>
    </row>
    <row r="11" spans="1:5" ht="17" customHeight="1">
      <c r="A11" s="208"/>
      <c r="B11" s="210" t="s">
        <v>22</v>
      </c>
      <c r="C11" s="195" t="s">
        <v>23</v>
      </c>
      <c r="D11" s="196" t="s">
        <v>9</v>
      </c>
      <c r="E11" s="197"/>
    </row>
    <row r="12" spans="1:5" ht="17" customHeight="1">
      <c r="A12" s="208"/>
      <c r="B12" s="211"/>
      <c r="C12" s="199" t="s">
        <v>24</v>
      </c>
      <c r="D12" s="200" t="s">
        <v>15</v>
      </c>
      <c r="E12" s="197"/>
    </row>
    <row r="13" spans="1:5" ht="17" customHeight="1">
      <c r="A13" s="208"/>
      <c r="B13" s="204" t="s">
        <v>25</v>
      </c>
      <c r="C13" s="199" t="s">
        <v>26</v>
      </c>
      <c r="D13" s="200" t="s">
        <v>15</v>
      </c>
      <c r="E13" s="200" t="s">
        <v>12</v>
      </c>
    </row>
    <row r="14" spans="1:5" ht="17" customHeight="1">
      <c r="A14" s="208"/>
      <c r="B14" s="204" t="s">
        <v>27</v>
      </c>
      <c r="C14" s="195" t="s">
        <v>28</v>
      </c>
      <c r="D14" s="198" t="s">
        <v>9</v>
      </c>
      <c r="E14" s="200" t="s">
        <v>12</v>
      </c>
    </row>
    <row r="15" spans="1:5" ht="17" customHeight="1">
      <c r="A15" s="208"/>
      <c r="B15" s="204" t="s">
        <v>29</v>
      </c>
      <c r="C15" s="199" t="s">
        <v>30</v>
      </c>
      <c r="D15" s="200" t="s">
        <v>15</v>
      </c>
      <c r="E15" s="205"/>
    </row>
    <row r="16" spans="1:5" ht="17" customHeight="1">
      <c r="A16" s="208"/>
      <c r="B16" s="204" t="s">
        <v>31</v>
      </c>
      <c r="C16" s="195" t="s">
        <v>32</v>
      </c>
      <c r="D16" s="198" t="s">
        <v>9</v>
      </c>
      <c r="E16" s="197"/>
    </row>
    <row r="17" spans="1:5" ht="17" customHeight="1">
      <c r="A17" s="208"/>
      <c r="B17" s="194" t="s">
        <v>33</v>
      </c>
      <c r="C17" s="195" t="s">
        <v>34</v>
      </c>
      <c r="D17" s="196" t="s">
        <v>35</v>
      </c>
      <c r="E17" s="205"/>
    </row>
    <row r="18" spans="1:5" ht="17" customHeight="1">
      <c r="A18" s="208"/>
      <c r="B18" s="194" t="s">
        <v>36</v>
      </c>
      <c r="C18" s="202" t="s">
        <v>37</v>
      </c>
      <c r="D18" s="203" t="s">
        <v>38</v>
      </c>
      <c r="E18" s="205"/>
    </row>
    <row r="19" spans="1:5" ht="17" customHeight="1">
      <c r="A19" s="208"/>
      <c r="B19" s="194" t="s">
        <v>39</v>
      </c>
      <c r="C19" s="212" t="s">
        <v>40</v>
      </c>
      <c r="D19" s="196" t="s">
        <v>41</v>
      </c>
      <c r="E19" s="205"/>
    </row>
    <row r="20" spans="1:5" ht="17" customHeight="1">
      <c r="A20" s="208"/>
      <c r="B20" s="194" t="s">
        <v>42</v>
      </c>
      <c r="C20" s="212"/>
      <c r="D20" s="196" t="s">
        <v>41</v>
      </c>
      <c r="E20" s="205"/>
    </row>
    <row r="21" spans="1:5" ht="17" customHeight="1">
      <c r="A21" s="208"/>
      <c r="B21" s="206" t="s">
        <v>43</v>
      </c>
      <c r="C21" s="212"/>
      <c r="D21" s="207" t="s">
        <v>41</v>
      </c>
      <c r="E21" s="205"/>
    </row>
    <row r="22" spans="1:5" ht="17" customHeight="1">
      <c r="A22" s="208"/>
      <c r="B22" s="194" t="s">
        <v>44</v>
      </c>
      <c r="C22" s="212"/>
      <c r="D22" s="196" t="s">
        <v>41</v>
      </c>
      <c r="E22" s="205"/>
    </row>
    <row r="23" spans="1:5" ht="17" customHeight="1">
      <c r="A23" s="208"/>
      <c r="B23" s="204" t="s">
        <v>45</v>
      </c>
      <c r="C23" s="212"/>
      <c r="D23" s="196" t="s">
        <v>41</v>
      </c>
      <c r="E23" s="205"/>
    </row>
    <row r="24" spans="1:5" ht="17" customHeight="1">
      <c r="A24" s="208"/>
      <c r="B24" s="194" t="s">
        <v>46</v>
      </c>
      <c r="C24" s="202" t="s">
        <v>47</v>
      </c>
      <c r="D24" s="198" t="s">
        <v>9</v>
      </c>
      <c r="E24" s="197"/>
    </row>
    <row r="25" spans="1:5" ht="17" customHeight="1">
      <c r="A25" s="208" t="s">
        <v>48</v>
      </c>
      <c r="B25" s="194" t="s">
        <v>49</v>
      </c>
      <c r="C25" s="201" t="s">
        <v>50</v>
      </c>
      <c r="D25" s="200" t="s">
        <v>15</v>
      </c>
      <c r="E25" s="197"/>
    </row>
    <row r="26" spans="1:5" ht="17" customHeight="1">
      <c r="A26" s="208"/>
      <c r="B26" s="194" t="s">
        <v>51</v>
      </c>
      <c r="C26" s="201" t="s">
        <v>52</v>
      </c>
      <c r="D26" s="200" t="s">
        <v>15</v>
      </c>
      <c r="E26" s="197"/>
    </row>
    <row r="27" spans="1:5" ht="17" customHeight="1">
      <c r="A27" s="208"/>
      <c r="B27" s="194" t="s">
        <v>53</v>
      </c>
      <c r="C27" s="201" t="s">
        <v>54</v>
      </c>
      <c r="D27" s="200" t="s">
        <v>15</v>
      </c>
      <c r="E27" s="197"/>
    </row>
    <row r="28" spans="1:5" ht="16.5">
      <c r="A28" s="208" t="s">
        <v>55</v>
      </c>
      <c r="B28" s="194" t="s">
        <v>56</v>
      </c>
      <c r="C28" s="201" t="s">
        <v>57</v>
      </c>
      <c r="D28" s="200" t="s">
        <v>15</v>
      </c>
      <c r="E28" s="197"/>
    </row>
    <row r="29" spans="1:5" ht="16.5">
      <c r="A29" s="208"/>
      <c r="B29" s="194" t="s">
        <v>58</v>
      </c>
      <c r="C29" s="201" t="s">
        <v>37</v>
      </c>
      <c r="D29" s="201" t="s">
        <v>38</v>
      </c>
      <c r="E29" s="197"/>
    </row>
  </sheetData>
  <mergeCells count="9">
    <mergeCell ref="C19:C23"/>
    <mergeCell ref="E5:E8"/>
    <mergeCell ref="A1:E2"/>
    <mergeCell ref="A4:A9"/>
    <mergeCell ref="A10:A24"/>
    <mergeCell ref="A25:A27"/>
    <mergeCell ref="A28:A29"/>
    <mergeCell ref="B5:B8"/>
    <mergeCell ref="B11:B12"/>
  </mergeCells>
  <phoneticPr fontId="59" type="noConversion"/>
  <hyperlinks>
    <hyperlink ref="C4" location="'5G公共网络（B1）资费'!A1" display="5G行业流量资费"/>
    <hyperlink ref="C9" location="'5G专网专用（B3）报价模型'!A1" display="基站专用资费"/>
    <hyperlink ref="C10" location="'业务加速（A1)资费'!A1" display="业务加速资费"/>
    <hyperlink ref="C12" location="'业务隔离（A2）资费'!A1" display="ULCL公专分流费"/>
    <hyperlink ref="C13" location="'边缘计算(A3、A4、A5）-2021'!A6" display="地市级UPF资费（新增测试期资费）"/>
    <hyperlink ref="C14" location="'边缘计算(A3、A4、A5）-2021'!A19" display="园区级独享UPF资费"/>
    <hyperlink ref="C16" location="'边缘计算(A3、A4、A5）-2021'!A39" display="网络边缘云资费"/>
    <hyperlink ref="C6" location="'5G公网专用（B2）报价模型'!A1" display="5G无线带宽保障资费"/>
    <hyperlink ref="C19:C20" location="'服务能力（A8-A11）'!A1" display="网络服务收费项/量纲设置"/>
    <hyperlink ref="C15" location="'边缘计算(A3、A4、A5）-2021'!A19" display="园区级独享UPF+资费"/>
    <hyperlink ref="C11" location="'业务隔离（A2）资费'!A1" display="专用DNN资费"/>
    <hyperlink ref="C7" location="'5G公网专用（B2）报价模型'!A43" display="RB无线切片资费（新增测试期资费）"/>
  </hyperlinks>
  <pageMargins left="0.70069444444444495" right="0.70069444444444495" top="0.75138888888888899" bottom="0.75138888888888899" header="0.29861111111111099" footer="0.29861111111111099"/>
  <pageSetup paperSize="8"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XEY30"/>
  <sheetViews>
    <sheetView showGridLines="0" zoomScale="70" zoomScaleNormal="70" workbookViewId="0">
      <selection activeCell="B12" sqref="B12:C12"/>
    </sheetView>
  </sheetViews>
  <sheetFormatPr defaultColWidth="8.4140625" defaultRowHeight="14"/>
  <cols>
    <col min="2" max="2" width="37" style="41" customWidth="1"/>
    <col min="3" max="3" width="37.75" style="41" customWidth="1"/>
    <col min="4" max="4" width="14" style="41" customWidth="1"/>
    <col min="5" max="5" width="17.5" style="41" customWidth="1"/>
    <col min="6" max="6" width="24.6640625" style="41" customWidth="1"/>
    <col min="7" max="7" width="22" style="41" customWidth="1"/>
    <col min="8" max="8" width="25.33203125" style="41" customWidth="1"/>
    <col min="9" max="9" width="25.4140625" style="41" customWidth="1"/>
    <col min="10" max="16379" width="8.4140625" style="41"/>
  </cols>
  <sheetData>
    <row r="1" spans="2:12" s="40" customFormat="1" ht="34" customHeight="1">
      <c r="B1" s="220" t="s">
        <v>59</v>
      </c>
      <c r="C1" s="220"/>
      <c r="D1" s="187"/>
    </row>
    <row r="2" spans="2:12" ht="12" customHeight="1">
      <c r="B2" s="42"/>
    </row>
    <row r="3" spans="2:12">
      <c r="B3" s="226" t="s">
        <v>60</v>
      </c>
      <c r="C3" s="227"/>
      <c r="D3"/>
      <c r="E3"/>
    </row>
    <row r="4" spans="2:12">
      <c r="B4" s="228"/>
      <c r="C4" s="229"/>
      <c r="D4"/>
      <c r="E4"/>
    </row>
    <row r="5" spans="2:12">
      <c r="B5" s="228"/>
      <c r="C5" s="229"/>
      <c r="D5"/>
      <c r="E5"/>
    </row>
    <row r="6" spans="2:12" ht="20" customHeight="1">
      <c r="B6" s="188" t="s">
        <v>61</v>
      </c>
      <c r="C6" s="189" t="s">
        <v>62</v>
      </c>
      <c r="D6"/>
    </row>
    <row r="7" spans="2:12" ht="20" customHeight="1">
      <c r="B7" s="92" t="s">
        <v>10</v>
      </c>
      <c r="C7" s="223" t="s">
        <v>63</v>
      </c>
      <c r="D7"/>
    </row>
    <row r="8" spans="2:12" ht="20" customHeight="1">
      <c r="B8" s="190" t="s">
        <v>17</v>
      </c>
      <c r="C8" s="224"/>
      <c r="D8"/>
    </row>
    <row r="9" spans="2:12" ht="20" customHeight="1">
      <c r="B9" s="191" t="s">
        <v>25</v>
      </c>
      <c r="C9" s="224"/>
      <c r="D9"/>
    </row>
    <row r="10" spans="2:12" ht="20" customHeight="1">
      <c r="B10" s="191" t="s">
        <v>27</v>
      </c>
      <c r="C10" s="224"/>
      <c r="D10"/>
    </row>
    <row r="11" spans="2:12" ht="20" customHeight="1">
      <c r="B11" s="191" t="s">
        <v>29</v>
      </c>
      <c r="C11" s="225"/>
      <c r="D11"/>
    </row>
    <row r="12" spans="2:12" ht="168" customHeight="1">
      <c r="B12" s="221" t="s">
        <v>64</v>
      </c>
      <c r="C12" s="222"/>
      <c r="D12"/>
      <c r="E12" s="106"/>
    </row>
    <row r="13" spans="2:12" ht="22" customHeight="1">
      <c r="B13"/>
      <c r="C13"/>
      <c r="D13"/>
    </row>
    <row r="14" spans="2:12">
      <c r="B14"/>
      <c r="C14"/>
      <c r="D14"/>
      <c r="E14"/>
      <c r="F14"/>
      <c r="G14"/>
      <c r="H14"/>
      <c r="I14"/>
      <c r="J14"/>
      <c r="K14"/>
      <c r="L14"/>
    </row>
    <row r="15" spans="2:12">
      <c r="B15"/>
      <c r="C15"/>
      <c r="D15"/>
      <c r="E15"/>
      <c r="F15"/>
      <c r="G15"/>
      <c r="H15"/>
      <c r="I15"/>
      <c r="J15"/>
      <c r="K15"/>
      <c r="L15"/>
    </row>
    <row r="16" spans="2:12">
      <c r="B16"/>
      <c r="C16"/>
      <c r="D16"/>
      <c r="E16"/>
      <c r="F16"/>
      <c r="G16"/>
      <c r="H16"/>
      <c r="I16"/>
      <c r="J16"/>
      <c r="K16"/>
      <c r="L16"/>
    </row>
    <row r="17" spans="2:12">
      <c r="B17"/>
      <c r="C17"/>
      <c r="D17"/>
      <c r="E17"/>
      <c r="F17"/>
      <c r="G17"/>
      <c r="H17"/>
      <c r="I17"/>
      <c r="J17"/>
      <c r="K17"/>
      <c r="L17"/>
    </row>
    <row r="18" spans="2:12">
      <c r="B18"/>
      <c r="C18"/>
      <c r="D18"/>
      <c r="E18"/>
      <c r="F18"/>
      <c r="G18"/>
      <c r="H18"/>
      <c r="I18"/>
      <c r="J18"/>
      <c r="K18"/>
      <c r="L18"/>
    </row>
    <row r="19" spans="2:12">
      <c r="B19"/>
      <c r="C19"/>
      <c r="D19"/>
      <c r="E19"/>
      <c r="F19"/>
      <c r="G19"/>
      <c r="H19"/>
      <c r="I19"/>
      <c r="J19"/>
      <c r="K19"/>
      <c r="L19"/>
    </row>
    <row r="20" spans="2:12">
      <c r="B20"/>
      <c r="C20"/>
      <c r="D20"/>
      <c r="E20"/>
      <c r="F20"/>
      <c r="G20"/>
      <c r="H20"/>
      <c r="I20"/>
      <c r="J20"/>
      <c r="K20"/>
      <c r="L20"/>
    </row>
    <row r="21" spans="2:12">
      <c r="B21"/>
      <c r="C21"/>
      <c r="D21"/>
      <c r="E21"/>
      <c r="F21"/>
      <c r="G21"/>
      <c r="H21"/>
      <c r="I21"/>
      <c r="J21"/>
      <c r="K21"/>
      <c r="L21"/>
    </row>
    <row r="22" spans="2:12">
      <c r="B22"/>
      <c r="C22"/>
      <c r="D22"/>
      <c r="E22"/>
      <c r="F22"/>
      <c r="G22"/>
      <c r="H22"/>
      <c r="I22"/>
      <c r="J22"/>
      <c r="K22"/>
      <c r="L22"/>
    </row>
    <row r="23" spans="2:12">
      <c r="B23"/>
      <c r="C23"/>
      <c r="D23"/>
      <c r="E23"/>
      <c r="F23"/>
      <c r="G23"/>
      <c r="H23"/>
      <c r="I23"/>
      <c r="J23"/>
      <c r="K23"/>
      <c r="L23"/>
    </row>
    <row r="24" spans="2:12">
      <c r="B24"/>
      <c r="C24"/>
      <c r="D24"/>
      <c r="E24"/>
      <c r="F24"/>
      <c r="G24"/>
      <c r="H24"/>
      <c r="I24"/>
      <c r="J24"/>
      <c r="K24"/>
      <c r="L24"/>
    </row>
    <row r="25" spans="2:12">
      <c r="B25"/>
      <c r="C25"/>
      <c r="D25"/>
      <c r="E25"/>
      <c r="F25"/>
      <c r="G25"/>
      <c r="H25"/>
      <c r="I25"/>
      <c r="J25"/>
      <c r="K25"/>
      <c r="L25"/>
    </row>
    <row r="26" spans="2:12">
      <c r="B26"/>
      <c r="C26"/>
      <c r="D26"/>
      <c r="E26"/>
      <c r="F26"/>
      <c r="G26"/>
      <c r="H26"/>
      <c r="I26"/>
      <c r="J26"/>
      <c r="K26"/>
      <c r="L26"/>
    </row>
    <row r="27" spans="2:12">
      <c r="B27"/>
      <c r="C27"/>
      <c r="D27"/>
      <c r="E27"/>
      <c r="F27"/>
      <c r="G27"/>
      <c r="H27"/>
      <c r="I27"/>
      <c r="J27"/>
      <c r="K27"/>
      <c r="L27"/>
    </row>
    <row r="28" spans="2:12">
      <c r="B28"/>
      <c r="C28"/>
      <c r="D28"/>
      <c r="E28"/>
      <c r="F28"/>
      <c r="G28"/>
      <c r="H28"/>
      <c r="I28"/>
      <c r="J28"/>
      <c r="K28"/>
      <c r="L28"/>
    </row>
    <row r="29" spans="2:12">
      <c r="B29"/>
      <c r="C29"/>
      <c r="D29"/>
      <c r="E29"/>
      <c r="F29"/>
      <c r="G29"/>
      <c r="H29"/>
      <c r="I29"/>
      <c r="J29"/>
      <c r="K29"/>
      <c r="L29"/>
    </row>
    <row r="30" spans="2:12">
      <c r="B30"/>
      <c r="C30"/>
      <c r="D30"/>
      <c r="E30"/>
      <c r="F30"/>
      <c r="G30"/>
      <c r="H30"/>
      <c r="I30"/>
      <c r="J30"/>
      <c r="K30"/>
      <c r="L30"/>
    </row>
  </sheetData>
  <mergeCells count="4">
    <mergeCell ref="B1:C1"/>
    <mergeCell ref="B12:C12"/>
    <mergeCell ref="C7:C11"/>
    <mergeCell ref="B3:C5"/>
  </mergeCells>
  <phoneticPr fontId="59" type="noConversion"/>
  <pageMargins left="0.70069444444444495" right="0.70069444444444495" top="0.75138888888888899" bottom="0.75138888888888899" header="0.29861111111111099" footer="0.29861111111111099"/>
  <pageSetup paperSize="8" orientation="landscape"/>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B1:S38"/>
  <sheetViews>
    <sheetView showGridLines="0" topLeftCell="A34" zoomScale="60" zoomScaleNormal="60" workbookViewId="0">
      <selection activeCell="I32" sqref="I32"/>
    </sheetView>
  </sheetViews>
  <sheetFormatPr defaultColWidth="9" defaultRowHeight="14"/>
  <cols>
    <col min="2" max="2" width="11.08203125" customWidth="1"/>
    <col min="3" max="3" width="20.9140625" customWidth="1"/>
    <col min="4" max="4" width="18.9140625" customWidth="1"/>
    <col min="5" max="5" width="17.08203125"/>
    <col min="6" max="6" width="15.08203125" customWidth="1"/>
    <col min="7" max="7" width="25.75" customWidth="1"/>
    <col min="8" max="8" width="28.6640625" customWidth="1"/>
    <col min="9" max="9" width="47.58203125" customWidth="1"/>
    <col min="10" max="16" width="10.4140625" customWidth="1"/>
    <col min="17" max="17" width="15.08203125" customWidth="1"/>
    <col min="18" max="18" width="10.4140625" customWidth="1"/>
    <col min="23" max="24" width="13.4140625" customWidth="1"/>
    <col min="25" max="25" width="27" customWidth="1"/>
    <col min="26" max="27" width="10.4140625" customWidth="1"/>
  </cols>
  <sheetData>
    <row r="1" spans="2:18" ht="15.25" customHeight="1"/>
    <row r="2" spans="2:18" ht="20">
      <c r="B2" s="230" t="s">
        <v>65</v>
      </c>
      <c r="C2" s="231"/>
      <c r="D2" s="231"/>
      <c r="E2" s="231"/>
      <c r="F2" s="231"/>
      <c r="G2" s="232"/>
      <c r="I2" s="230" t="s">
        <v>66</v>
      </c>
      <c r="J2" s="231"/>
      <c r="K2" s="231"/>
      <c r="L2" s="231"/>
      <c r="M2" s="231"/>
      <c r="N2" s="231"/>
      <c r="O2" s="231"/>
      <c r="P2" s="231"/>
      <c r="Q2" s="231"/>
      <c r="R2" s="232"/>
    </row>
    <row r="3" spans="2:18" ht="16.5">
      <c r="B3" s="241" t="s">
        <v>67</v>
      </c>
      <c r="C3" s="233" t="s">
        <v>68</v>
      </c>
      <c r="D3" s="234"/>
      <c r="E3" s="241" t="s">
        <v>69</v>
      </c>
      <c r="F3" s="241" t="s">
        <v>70</v>
      </c>
      <c r="G3" s="241" t="s">
        <v>71</v>
      </c>
      <c r="I3" s="241" t="s">
        <v>67</v>
      </c>
      <c r="J3" s="233" t="s">
        <v>72</v>
      </c>
      <c r="K3" s="234"/>
      <c r="L3" s="233" t="s">
        <v>73</v>
      </c>
      <c r="M3" s="234"/>
      <c r="N3" s="233" t="s">
        <v>74</v>
      </c>
      <c r="O3" s="234"/>
      <c r="P3" s="241" t="s">
        <v>75</v>
      </c>
      <c r="Q3" s="241" t="s">
        <v>70</v>
      </c>
      <c r="R3" s="241" t="s">
        <v>71</v>
      </c>
    </row>
    <row r="4" spans="2:18" ht="18.899999999999999" customHeight="1">
      <c r="B4" s="242"/>
      <c r="C4" s="96" t="s">
        <v>76</v>
      </c>
      <c r="D4" s="96" t="s">
        <v>77</v>
      </c>
      <c r="E4" s="242"/>
      <c r="F4" s="242"/>
      <c r="G4" s="242"/>
      <c r="I4" s="242"/>
      <c r="J4" s="96" t="s">
        <v>76</v>
      </c>
      <c r="K4" s="96" t="s">
        <v>77</v>
      </c>
      <c r="L4" s="96" t="s">
        <v>76</v>
      </c>
      <c r="M4" s="96" t="s">
        <v>77</v>
      </c>
      <c r="N4" s="96" t="s">
        <v>76</v>
      </c>
      <c r="O4" s="96" t="s">
        <v>77</v>
      </c>
      <c r="P4" s="242"/>
      <c r="Q4" s="242"/>
      <c r="R4" s="242"/>
    </row>
    <row r="5" spans="2:18" ht="18" customHeight="1">
      <c r="B5" s="181" t="s">
        <v>78</v>
      </c>
      <c r="C5" s="181">
        <v>50</v>
      </c>
      <c r="D5" s="181">
        <v>30</v>
      </c>
      <c r="E5" s="247" t="s">
        <v>79</v>
      </c>
      <c r="F5" s="252" t="s">
        <v>80</v>
      </c>
      <c r="G5" s="255" t="s">
        <v>81</v>
      </c>
      <c r="I5" s="181" t="s">
        <v>82</v>
      </c>
      <c r="J5" s="181">
        <v>415</v>
      </c>
      <c r="K5" s="181">
        <v>240</v>
      </c>
      <c r="L5" s="181">
        <v>550</v>
      </c>
      <c r="M5" s="181">
        <v>325</v>
      </c>
      <c r="N5" s="181">
        <v>760</v>
      </c>
      <c r="O5" s="181">
        <v>460</v>
      </c>
      <c r="P5" s="249" t="s">
        <v>83</v>
      </c>
      <c r="Q5" s="272" t="s">
        <v>84</v>
      </c>
      <c r="R5" s="255" t="s">
        <v>81</v>
      </c>
    </row>
    <row r="6" spans="2:18" ht="16.5">
      <c r="B6" s="181" t="s">
        <v>85</v>
      </c>
      <c r="C6" s="181">
        <v>90</v>
      </c>
      <c r="D6" s="181">
        <v>50</v>
      </c>
      <c r="E6" s="248"/>
      <c r="F6" s="253"/>
      <c r="G6" s="256"/>
      <c r="I6" s="181" t="s">
        <v>86</v>
      </c>
      <c r="J6" s="181">
        <v>495</v>
      </c>
      <c r="K6" s="181">
        <v>300</v>
      </c>
      <c r="L6" s="181">
        <v>740</v>
      </c>
      <c r="M6" s="181">
        <v>430</v>
      </c>
      <c r="N6" s="181">
        <v>940</v>
      </c>
      <c r="O6" s="181">
        <v>560</v>
      </c>
      <c r="P6" s="250"/>
      <c r="Q6" s="273"/>
      <c r="R6" s="256"/>
    </row>
    <row r="7" spans="2:18" ht="18.899999999999999" customHeight="1">
      <c r="B7" s="181" t="s">
        <v>87</v>
      </c>
      <c r="C7" s="181">
        <v>120</v>
      </c>
      <c r="D7" s="181">
        <v>70</v>
      </c>
      <c r="E7" s="249" t="s">
        <v>83</v>
      </c>
      <c r="F7" s="253"/>
      <c r="G7" s="256"/>
      <c r="I7" s="181" t="s">
        <v>88</v>
      </c>
      <c r="J7" s="181">
        <v>550</v>
      </c>
      <c r="K7" s="181">
        <v>330</v>
      </c>
      <c r="L7" s="181">
        <v>830</v>
      </c>
      <c r="M7" s="181">
        <v>485</v>
      </c>
      <c r="N7" s="181">
        <v>1100</v>
      </c>
      <c r="O7" s="181">
        <v>650</v>
      </c>
      <c r="P7" s="250"/>
      <c r="Q7" s="273"/>
      <c r="R7" s="256"/>
    </row>
    <row r="8" spans="2:18" ht="16.5">
      <c r="B8" s="181" t="s">
        <v>89</v>
      </c>
      <c r="C8" s="181">
        <v>150</v>
      </c>
      <c r="D8" s="181">
        <v>90</v>
      </c>
      <c r="E8" s="250"/>
      <c r="F8" s="253"/>
      <c r="G8" s="256"/>
      <c r="I8" s="181" t="s">
        <v>90</v>
      </c>
      <c r="J8" s="181">
        <v>660</v>
      </c>
      <c r="K8" s="181">
        <v>400</v>
      </c>
      <c r="L8" s="181">
        <v>990</v>
      </c>
      <c r="M8" s="181">
        <v>595</v>
      </c>
      <c r="N8" s="181">
        <v>1400</v>
      </c>
      <c r="O8" s="181">
        <v>820</v>
      </c>
      <c r="P8" s="250"/>
      <c r="Q8" s="273"/>
      <c r="R8" s="256"/>
    </row>
    <row r="9" spans="2:18" ht="16.5">
      <c r="B9" s="181" t="s">
        <v>82</v>
      </c>
      <c r="C9" s="181">
        <v>200</v>
      </c>
      <c r="D9" s="181">
        <v>120</v>
      </c>
      <c r="E9" s="250"/>
      <c r="F9" s="253"/>
      <c r="G9" s="256"/>
      <c r="I9" s="181" t="s">
        <v>91</v>
      </c>
      <c r="J9" s="181">
        <v>1080</v>
      </c>
      <c r="K9" s="181">
        <v>650</v>
      </c>
      <c r="L9" s="181">
        <v>1210</v>
      </c>
      <c r="M9" s="181">
        <v>725</v>
      </c>
      <c r="N9" s="181">
        <v>1820</v>
      </c>
      <c r="O9" s="181">
        <v>1080</v>
      </c>
      <c r="P9" s="250"/>
      <c r="Q9" s="273"/>
      <c r="R9" s="256"/>
    </row>
    <row r="10" spans="2:18" ht="18.899999999999999" customHeight="1">
      <c r="B10" s="181" t="s">
        <v>86</v>
      </c>
      <c r="C10" s="181">
        <v>300</v>
      </c>
      <c r="D10" s="181">
        <v>180</v>
      </c>
      <c r="E10" s="250"/>
      <c r="F10" s="253"/>
      <c r="G10" s="256"/>
      <c r="I10" s="181" t="s">
        <v>92</v>
      </c>
      <c r="J10" s="181">
        <v>2105</v>
      </c>
      <c r="K10" s="181">
        <v>1260</v>
      </c>
      <c r="L10" s="181">
        <v>2200</v>
      </c>
      <c r="M10" s="181">
        <v>1325</v>
      </c>
      <c r="N10" s="181">
        <v>2450</v>
      </c>
      <c r="O10" s="181">
        <v>1470</v>
      </c>
      <c r="P10" s="250"/>
      <c r="Q10" s="273"/>
      <c r="R10" s="257"/>
    </row>
    <row r="11" spans="2:18" ht="16.5">
      <c r="B11" s="181" t="s">
        <v>88</v>
      </c>
      <c r="C11" s="181">
        <v>380</v>
      </c>
      <c r="D11" s="181">
        <v>230</v>
      </c>
      <c r="E11" s="250"/>
      <c r="F11" s="253"/>
      <c r="G11" s="257"/>
      <c r="I11" s="182" t="s">
        <v>93</v>
      </c>
      <c r="J11" s="182">
        <v>3940</v>
      </c>
      <c r="K11" s="182">
        <v>2360</v>
      </c>
      <c r="L11" s="182">
        <v>4210</v>
      </c>
      <c r="M11" s="182">
        <v>2520</v>
      </c>
      <c r="N11" s="182">
        <v>4390</v>
      </c>
      <c r="O11" s="182">
        <v>2650</v>
      </c>
      <c r="P11" s="250"/>
      <c r="Q11" s="273"/>
      <c r="R11" s="258" t="s">
        <v>94</v>
      </c>
    </row>
    <row r="12" spans="2:18" ht="16.5">
      <c r="B12" s="182" t="s">
        <v>90</v>
      </c>
      <c r="C12" s="182">
        <v>570</v>
      </c>
      <c r="D12" s="182">
        <v>340</v>
      </c>
      <c r="E12" s="250"/>
      <c r="F12" s="253"/>
      <c r="G12" s="258" t="s">
        <v>94</v>
      </c>
      <c r="I12" s="182" t="s">
        <v>95</v>
      </c>
      <c r="J12" s="182" t="s">
        <v>37</v>
      </c>
      <c r="K12" s="182">
        <v>5480</v>
      </c>
      <c r="L12" s="182">
        <v>9680</v>
      </c>
      <c r="M12" s="182">
        <v>5790</v>
      </c>
      <c r="N12" s="182">
        <v>10280</v>
      </c>
      <c r="O12" s="182">
        <v>6160</v>
      </c>
      <c r="P12" s="250"/>
      <c r="Q12" s="273"/>
      <c r="R12" s="259"/>
    </row>
    <row r="13" spans="2:18" ht="18.899999999999999" customHeight="1">
      <c r="B13" s="182" t="s">
        <v>91</v>
      </c>
      <c r="C13" s="182">
        <v>900</v>
      </c>
      <c r="D13" s="182">
        <v>540</v>
      </c>
      <c r="E13" s="250"/>
      <c r="F13" s="253"/>
      <c r="G13" s="259"/>
      <c r="I13" s="182" t="s">
        <v>96</v>
      </c>
      <c r="J13" s="182" t="s">
        <v>37</v>
      </c>
      <c r="K13" s="182">
        <v>10370</v>
      </c>
      <c r="L13" s="182" t="s">
        <v>37</v>
      </c>
      <c r="M13" s="182">
        <v>10960</v>
      </c>
      <c r="N13" s="182" t="s">
        <v>37</v>
      </c>
      <c r="O13" s="182">
        <v>11580</v>
      </c>
      <c r="P13" s="250"/>
      <c r="Q13" s="273"/>
      <c r="R13" s="259"/>
    </row>
    <row r="14" spans="2:18" ht="16.5">
      <c r="B14" s="182" t="s">
        <v>92</v>
      </c>
      <c r="C14" s="182">
        <v>1740</v>
      </c>
      <c r="D14" s="182">
        <v>1040</v>
      </c>
      <c r="E14" s="250"/>
      <c r="F14" s="253"/>
      <c r="G14" s="259"/>
      <c r="I14" s="182" t="s">
        <v>97</v>
      </c>
      <c r="J14" s="182" t="s">
        <v>37</v>
      </c>
      <c r="K14" s="182">
        <v>18930</v>
      </c>
      <c r="L14" s="182" t="s">
        <v>37</v>
      </c>
      <c r="M14" s="182">
        <v>20750</v>
      </c>
      <c r="N14" s="182" t="s">
        <v>37</v>
      </c>
      <c r="O14" s="182">
        <v>21910</v>
      </c>
      <c r="P14" s="250"/>
      <c r="Q14" s="273"/>
      <c r="R14" s="259"/>
    </row>
    <row r="15" spans="2:18" ht="16.5">
      <c r="B15" s="182" t="s">
        <v>93</v>
      </c>
      <c r="C15" s="182" t="s">
        <v>37</v>
      </c>
      <c r="D15" s="182">
        <v>1970</v>
      </c>
      <c r="E15" s="250"/>
      <c r="F15" s="253"/>
      <c r="G15" s="259"/>
      <c r="I15" s="182" t="s">
        <v>98</v>
      </c>
      <c r="J15" s="182" t="s">
        <v>37</v>
      </c>
      <c r="K15" s="182" t="s">
        <v>37</v>
      </c>
      <c r="L15" s="182" t="s">
        <v>37</v>
      </c>
      <c r="M15" s="182">
        <v>45300</v>
      </c>
      <c r="N15" s="182" t="s">
        <v>37</v>
      </c>
      <c r="O15" s="182">
        <v>51170</v>
      </c>
      <c r="P15" s="251"/>
      <c r="Q15" s="274"/>
      <c r="R15" s="260"/>
    </row>
    <row r="16" spans="2:18" ht="18.899999999999999" customHeight="1">
      <c r="B16" s="182" t="s">
        <v>95</v>
      </c>
      <c r="C16" s="182" t="s">
        <v>37</v>
      </c>
      <c r="D16" s="182">
        <v>4610</v>
      </c>
      <c r="E16" s="250"/>
      <c r="F16" s="253"/>
      <c r="G16" s="259"/>
    </row>
    <row r="17" spans="2:19" ht="16.5">
      <c r="B17" s="182" t="s">
        <v>96</v>
      </c>
      <c r="C17" s="182" t="s">
        <v>37</v>
      </c>
      <c r="D17" s="182">
        <v>7990</v>
      </c>
      <c r="E17" s="251"/>
      <c r="F17" s="254"/>
      <c r="G17" s="260"/>
    </row>
    <row r="19" spans="2:19" ht="21.9" customHeight="1">
      <c r="B19" s="235" t="s">
        <v>99</v>
      </c>
      <c r="C19" s="236"/>
      <c r="D19" s="236"/>
      <c r="E19" s="236"/>
      <c r="F19" s="236"/>
      <c r="G19" s="236"/>
      <c r="H19" s="236"/>
      <c r="I19" s="237"/>
      <c r="K19" s="235" t="s">
        <v>100</v>
      </c>
      <c r="L19" s="236"/>
      <c r="M19" s="236"/>
      <c r="N19" s="236"/>
      <c r="O19" s="236"/>
      <c r="P19" s="236"/>
      <c r="Q19" s="236"/>
      <c r="R19" s="236"/>
      <c r="S19" s="237"/>
    </row>
    <row r="20" spans="2:19" ht="16.5">
      <c r="B20" s="241" t="s">
        <v>101</v>
      </c>
      <c r="C20" s="241" t="s">
        <v>102</v>
      </c>
      <c r="D20" s="241" t="s">
        <v>103</v>
      </c>
      <c r="E20" s="180" t="s">
        <v>104</v>
      </c>
      <c r="F20" s="180" t="s">
        <v>105</v>
      </c>
      <c r="G20" s="241" t="s">
        <v>5</v>
      </c>
      <c r="H20" s="241" t="s">
        <v>75</v>
      </c>
      <c r="I20" s="241" t="s">
        <v>71</v>
      </c>
      <c r="K20" s="241" t="s">
        <v>102</v>
      </c>
      <c r="L20" s="241" t="s">
        <v>103</v>
      </c>
      <c r="M20" s="241" t="s">
        <v>106</v>
      </c>
      <c r="N20" s="233" t="s">
        <v>68</v>
      </c>
      <c r="O20" s="234"/>
      <c r="P20" s="241" t="s">
        <v>70</v>
      </c>
      <c r="Q20" s="241" t="s">
        <v>5</v>
      </c>
      <c r="R20" s="241" t="s">
        <v>75</v>
      </c>
      <c r="S20" s="241" t="s">
        <v>71</v>
      </c>
    </row>
    <row r="21" spans="2:19" ht="16.5">
      <c r="B21" s="242"/>
      <c r="C21" s="242"/>
      <c r="D21" s="242"/>
      <c r="E21" s="96" t="s">
        <v>107</v>
      </c>
      <c r="F21" s="96" t="s">
        <v>107</v>
      </c>
      <c r="G21" s="242"/>
      <c r="H21" s="242"/>
      <c r="I21" s="242"/>
      <c r="K21" s="242"/>
      <c r="L21" s="242"/>
      <c r="M21" s="242"/>
      <c r="N21" s="96" t="s">
        <v>108</v>
      </c>
      <c r="O21" s="96" t="s">
        <v>109</v>
      </c>
      <c r="P21" s="242"/>
      <c r="Q21" s="241"/>
      <c r="R21" s="242"/>
      <c r="S21" s="242"/>
    </row>
    <row r="22" spans="2:19">
      <c r="B22" s="243" t="s">
        <v>110</v>
      </c>
      <c r="C22" s="243" t="s">
        <v>111</v>
      </c>
      <c r="D22" s="243" t="s">
        <v>112</v>
      </c>
      <c r="E22" s="243">
        <v>8</v>
      </c>
      <c r="F22" s="243">
        <v>5</v>
      </c>
      <c r="G22" s="261" t="s">
        <v>113</v>
      </c>
      <c r="H22" s="264" t="s">
        <v>114</v>
      </c>
      <c r="I22" s="243" t="s">
        <v>81</v>
      </c>
      <c r="K22" s="269" t="s">
        <v>111</v>
      </c>
      <c r="L22" s="269" t="s">
        <v>112</v>
      </c>
      <c r="M22" s="269" t="s">
        <v>115</v>
      </c>
      <c r="N22" s="269" t="s">
        <v>116</v>
      </c>
      <c r="O22" s="269" t="s">
        <v>116</v>
      </c>
      <c r="P22" s="269" t="s">
        <v>117</v>
      </c>
      <c r="Q22" s="275" t="s">
        <v>118</v>
      </c>
      <c r="R22" s="269" t="s">
        <v>119</v>
      </c>
      <c r="S22" s="269" t="s">
        <v>120</v>
      </c>
    </row>
    <row r="23" spans="2:19" ht="87" customHeight="1">
      <c r="B23" s="244"/>
      <c r="C23" s="244"/>
      <c r="D23" s="244"/>
      <c r="E23" s="244"/>
      <c r="F23" s="244"/>
      <c r="G23" s="262"/>
      <c r="H23" s="265"/>
      <c r="I23" s="268"/>
      <c r="K23" s="270"/>
      <c r="L23" s="270"/>
      <c r="M23" s="270"/>
      <c r="N23" s="270"/>
      <c r="O23" s="270"/>
      <c r="P23" s="270"/>
      <c r="Q23" s="276"/>
      <c r="R23" s="270"/>
      <c r="S23" s="270"/>
    </row>
    <row r="24" spans="2:19">
      <c r="B24" s="243" t="s">
        <v>121</v>
      </c>
      <c r="C24" s="243" t="s">
        <v>111</v>
      </c>
      <c r="D24" s="243" t="s">
        <v>112</v>
      </c>
      <c r="E24" s="243">
        <v>5</v>
      </c>
      <c r="F24" s="243">
        <v>3</v>
      </c>
      <c r="G24" s="261" t="s">
        <v>122</v>
      </c>
      <c r="H24" s="265"/>
      <c r="I24" s="268"/>
      <c r="K24" s="270"/>
      <c r="L24" s="270"/>
      <c r="M24" s="270"/>
      <c r="N24" s="270"/>
      <c r="O24" s="270"/>
      <c r="P24" s="270"/>
      <c r="Q24" s="276"/>
      <c r="R24" s="270"/>
      <c r="S24" s="270"/>
    </row>
    <row r="25" spans="2:19" ht="129" customHeight="1">
      <c r="B25" s="244"/>
      <c r="C25" s="244"/>
      <c r="D25" s="244"/>
      <c r="E25" s="244"/>
      <c r="F25" s="244"/>
      <c r="G25" s="262"/>
      <c r="H25" s="266"/>
      <c r="I25" s="244"/>
      <c r="K25" s="271"/>
      <c r="L25" s="271"/>
      <c r="M25" s="271"/>
      <c r="N25" s="271"/>
      <c r="O25" s="271"/>
      <c r="P25" s="271"/>
      <c r="Q25" s="277"/>
      <c r="R25" s="271"/>
      <c r="S25" s="271"/>
    </row>
    <row r="27" spans="2:19" ht="14.4" customHeight="1"/>
    <row r="28" spans="2:19" ht="20">
      <c r="B28" s="238" t="s">
        <v>123</v>
      </c>
      <c r="C28" s="236"/>
      <c r="D28" s="236"/>
      <c r="E28" s="236"/>
      <c r="F28" s="236"/>
      <c r="G28" s="236"/>
      <c r="H28" s="237"/>
    </row>
    <row r="29" spans="2:19" ht="16.5">
      <c r="B29" s="241" t="s">
        <v>124</v>
      </c>
      <c r="C29" s="241" t="s">
        <v>125</v>
      </c>
      <c r="D29" s="233" t="s">
        <v>126</v>
      </c>
      <c r="E29" s="234"/>
      <c r="F29" s="241" t="s">
        <v>127</v>
      </c>
      <c r="G29" s="241" t="s">
        <v>128</v>
      </c>
      <c r="H29" s="241" t="s">
        <v>5</v>
      </c>
    </row>
    <row r="30" spans="2:19" ht="16.5">
      <c r="B30" s="241"/>
      <c r="C30" s="241"/>
      <c r="D30" s="183" t="s">
        <v>129</v>
      </c>
      <c r="E30" s="183" t="s">
        <v>130</v>
      </c>
      <c r="F30" s="241"/>
      <c r="G30" s="241"/>
      <c r="H30" s="241"/>
    </row>
    <row r="31" spans="2:19" ht="17.399999999999999" customHeight="1">
      <c r="B31" s="245" t="s">
        <v>131</v>
      </c>
      <c r="C31" s="245">
        <v>0</v>
      </c>
      <c r="D31" s="245">
        <v>500</v>
      </c>
      <c r="E31" s="245">
        <v>10</v>
      </c>
      <c r="F31" s="245" t="s">
        <v>132</v>
      </c>
      <c r="G31" s="263" t="s">
        <v>133</v>
      </c>
      <c r="H31" s="263" t="s">
        <v>134</v>
      </c>
    </row>
    <row r="32" spans="2:19">
      <c r="B32" s="245"/>
      <c r="C32" s="245"/>
      <c r="D32" s="245"/>
      <c r="E32" s="245"/>
      <c r="F32" s="245"/>
      <c r="G32" s="263"/>
      <c r="H32" s="263"/>
    </row>
    <row r="33" spans="2:19">
      <c r="B33" s="245"/>
      <c r="C33" s="245"/>
      <c r="D33" s="245"/>
      <c r="E33" s="245"/>
      <c r="F33" s="245"/>
      <c r="G33" s="263"/>
      <c r="H33" s="263"/>
    </row>
    <row r="34" spans="2:19" ht="42" customHeight="1">
      <c r="B34" s="245"/>
      <c r="C34" s="245"/>
      <c r="D34" s="245"/>
      <c r="E34" s="245"/>
      <c r="F34" s="245"/>
      <c r="G34" s="263"/>
      <c r="H34" s="263"/>
    </row>
    <row r="35" spans="2:19" ht="15.65" customHeight="1">
      <c r="B35" s="246" t="s">
        <v>135</v>
      </c>
      <c r="C35" s="246">
        <v>0</v>
      </c>
      <c r="D35" s="246" t="s">
        <v>136</v>
      </c>
      <c r="E35" s="246" t="s">
        <v>137</v>
      </c>
      <c r="F35" s="246" t="s">
        <v>132</v>
      </c>
      <c r="G35" s="263"/>
      <c r="H35" s="267" t="s">
        <v>138</v>
      </c>
      <c r="J35" s="239"/>
      <c r="K35" s="240"/>
      <c r="L35" s="240"/>
      <c r="M35" s="240"/>
      <c r="N35" s="240"/>
      <c r="O35" s="240"/>
      <c r="P35" s="240"/>
      <c r="Q35" s="240"/>
      <c r="R35" s="240"/>
      <c r="S35" s="240"/>
    </row>
    <row r="36" spans="2:19" ht="104.4" customHeight="1">
      <c r="B36" s="246"/>
      <c r="C36" s="246"/>
      <c r="D36" s="246"/>
      <c r="E36" s="246"/>
      <c r="F36" s="246"/>
      <c r="G36" s="263"/>
      <c r="H36" s="267"/>
    </row>
    <row r="37" spans="2:19" ht="109.25" customHeight="1">
      <c r="B37" s="184" t="s">
        <v>139</v>
      </c>
      <c r="C37" s="186">
        <v>0</v>
      </c>
      <c r="D37" s="186" t="s">
        <v>136</v>
      </c>
      <c r="E37" s="186" t="s">
        <v>140</v>
      </c>
      <c r="F37" s="186" t="s">
        <v>141</v>
      </c>
      <c r="G37" s="263"/>
      <c r="H37" s="185" t="s">
        <v>142</v>
      </c>
    </row>
    <row r="38" spans="2:19" ht="117" customHeight="1">
      <c r="B38" s="184" t="s">
        <v>139</v>
      </c>
      <c r="C38" s="186">
        <v>0</v>
      </c>
      <c r="D38" s="186" t="s">
        <v>143</v>
      </c>
      <c r="E38" s="186" t="s">
        <v>140</v>
      </c>
      <c r="F38" s="186" t="s">
        <v>141</v>
      </c>
      <c r="G38" s="263"/>
      <c r="H38" s="185" t="s">
        <v>144</v>
      </c>
    </row>
  </sheetData>
  <mergeCells count="83">
    <mergeCell ref="S20:S21"/>
    <mergeCell ref="S22:S25"/>
    <mergeCell ref="Q5:Q15"/>
    <mergeCell ref="Q20:Q21"/>
    <mergeCell ref="Q22:Q25"/>
    <mergeCell ref="R3:R4"/>
    <mergeCell ref="R5:R10"/>
    <mergeCell ref="R11:R15"/>
    <mergeCell ref="R20:R21"/>
    <mergeCell ref="R22:R25"/>
    <mergeCell ref="O22:O25"/>
    <mergeCell ref="P3:P4"/>
    <mergeCell ref="P5:P15"/>
    <mergeCell ref="P20:P21"/>
    <mergeCell ref="P22:P25"/>
    <mergeCell ref="H31:H34"/>
    <mergeCell ref="H35:H36"/>
    <mergeCell ref="I3:I4"/>
    <mergeCell ref="I20:I21"/>
    <mergeCell ref="I22:I25"/>
    <mergeCell ref="F35:F36"/>
    <mergeCell ref="G3:G4"/>
    <mergeCell ref="G5:G11"/>
    <mergeCell ref="G12:G17"/>
    <mergeCell ref="G20:G21"/>
    <mergeCell ref="G22:G23"/>
    <mergeCell ref="G24:G25"/>
    <mergeCell ref="G29:G30"/>
    <mergeCell ref="G31:G38"/>
    <mergeCell ref="F5:F17"/>
    <mergeCell ref="F22:F23"/>
    <mergeCell ref="F24:F25"/>
    <mergeCell ref="F29:F30"/>
    <mergeCell ref="F31:F34"/>
    <mergeCell ref="D31:D34"/>
    <mergeCell ref="D35:D36"/>
    <mergeCell ref="E3:E4"/>
    <mergeCell ref="E5:E6"/>
    <mergeCell ref="E7:E17"/>
    <mergeCell ref="E22:E23"/>
    <mergeCell ref="E24:E25"/>
    <mergeCell ref="E31:E34"/>
    <mergeCell ref="E35:E36"/>
    <mergeCell ref="J35:S35"/>
    <mergeCell ref="B3:B4"/>
    <mergeCell ref="B20:B21"/>
    <mergeCell ref="B22:B23"/>
    <mergeCell ref="B24:B25"/>
    <mergeCell ref="B29:B30"/>
    <mergeCell ref="B31:B34"/>
    <mergeCell ref="B35:B36"/>
    <mergeCell ref="C20:C21"/>
    <mergeCell ref="C22:C23"/>
    <mergeCell ref="C24:C25"/>
    <mergeCell ref="C29:C30"/>
    <mergeCell ref="C31:C34"/>
    <mergeCell ref="C35:C36"/>
    <mergeCell ref="D20:D21"/>
    <mergeCell ref="D22:D23"/>
    <mergeCell ref="B19:I19"/>
    <mergeCell ref="K19:S19"/>
    <mergeCell ref="N20:O20"/>
    <mergeCell ref="B28:H28"/>
    <mergeCell ref="D29:E29"/>
    <mergeCell ref="D24:D25"/>
    <mergeCell ref="H20:H21"/>
    <mergeCell ref="H22:H25"/>
    <mergeCell ref="H29:H30"/>
    <mergeCell ref="K20:K21"/>
    <mergeCell ref="K22:K25"/>
    <mergeCell ref="L20:L21"/>
    <mergeCell ref="L22:L25"/>
    <mergeCell ref="M20:M21"/>
    <mergeCell ref="M22:M25"/>
    <mergeCell ref="N22:N25"/>
    <mergeCell ref="B2:G2"/>
    <mergeCell ref="I2:R2"/>
    <mergeCell ref="C3:D3"/>
    <mergeCell ref="J3:K3"/>
    <mergeCell ref="L3:M3"/>
    <mergeCell ref="N3:O3"/>
    <mergeCell ref="F3:F4"/>
    <mergeCell ref="Q3:Q4"/>
  </mergeCells>
  <phoneticPr fontId="59" type="noConversion"/>
  <pageMargins left="0.70069444444444495" right="0.70069444444444495" top="0.75138888888888899" bottom="0.75138888888888899" header="0.29861111111111099" footer="0.29861111111111099"/>
  <pageSetup paperSize="8" scale="76" orientation="landscape"/>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N89"/>
  <sheetViews>
    <sheetView showGridLines="0" zoomScale="70" zoomScaleNormal="70" workbookViewId="0">
      <selection activeCell="M58" sqref="M58"/>
    </sheetView>
  </sheetViews>
  <sheetFormatPr defaultColWidth="8.4140625" defaultRowHeight="14"/>
  <cols>
    <col min="1" max="1" width="31.08203125" style="41" customWidth="1"/>
    <col min="2" max="2" width="14.5" style="41" customWidth="1"/>
    <col min="3" max="3" width="14.08203125" style="41" customWidth="1"/>
    <col min="4" max="4" width="14.4140625" style="41" customWidth="1"/>
    <col min="5" max="5" width="14" style="41" customWidth="1"/>
    <col min="6" max="8" width="25.58203125" style="41" customWidth="1"/>
    <col min="9" max="9" width="17.5" style="41" customWidth="1"/>
    <col min="10" max="10" width="24.6640625" style="41" customWidth="1"/>
    <col min="11" max="11" width="22" style="41" customWidth="1"/>
    <col min="12" max="12" width="25.33203125" style="41" customWidth="1"/>
    <col min="13" max="13" width="25.4140625" style="41" customWidth="1"/>
    <col min="14" max="16384" width="8.4140625" style="41"/>
  </cols>
  <sheetData>
    <row r="1" spans="1:5" ht="37.5" customHeight="1">
      <c r="A1" s="42" t="s">
        <v>145</v>
      </c>
    </row>
    <row r="2" spans="1:5" ht="19.75" customHeight="1">
      <c r="A2" s="282" t="s">
        <v>146</v>
      </c>
      <c r="B2" s="282"/>
      <c r="C2" s="282"/>
      <c r="D2" s="282"/>
      <c r="E2" s="282"/>
    </row>
    <row r="3" spans="1:5" ht="19.75" customHeight="1">
      <c r="A3" s="282"/>
      <c r="B3" s="282"/>
      <c r="C3" s="282"/>
      <c r="D3" s="282"/>
      <c r="E3" s="282"/>
    </row>
    <row r="4" spans="1:5" ht="14" customHeight="1">
      <c r="A4" s="282"/>
      <c r="B4" s="282"/>
      <c r="C4" s="282"/>
      <c r="D4" s="282"/>
      <c r="E4" s="282"/>
    </row>
    <row r="5" spans="1:5" ht="20.25" customHeight="1">
      <c r="A5" s="293" t="s">
        <v>147</v>
      </c>
      <c r="B5" s="278" t="s">
        <v>148</v>
      </c>
      <c r="C5" s="279"/>
      <c r="D5" s="278" t="s">
        <v>149</v>
      </c>
      <c r="E5" s="279"/>
    </row>
    <row r="6" spans="1:5" ht="16.5">
      <c r="A6" s="294"/>
      <c r="B6" s="89" t="s">
        <v>150</v>
      </c>
      <c r="C6" s="89" t="s">
        <v>151</v>
      </c>
      <c r="D6" s="89" t="s">
        <v>150</v>
      </c>
      <c r="E6" s="89" t="s">
        <v>152</v>
      </c>
    </row>
    <row r="7" spans="1:5" ht="17.399999999999999" customHeight="1">
      <c r="A7" s="159">
        <v>2</v>
      </c>
      <c r="B7" s="159">
        <v>1000</v>
      </c>
      <c r="C7" s="159">
        <v>500</v>
      </c>
      <c r="D7" s="159">
        <v>600</v>
      </c>
      <c r="E7" s="159">
        <v>300</v>
      </c>
    </row>
    <row r="8" spans="1:5" ht="16.5">
      <c r="A8" s="159">
        <v>3</v>
      </c>
      <c r="B8" s="159">
        <v>1500</v>
      </c>
      <c r="C8" s="159">
        <v>750</v>
      </c>
      <c r="D8" s="159">
        <v>900</v>
      </c>
      <c r="E8" s="159">
        <v>450</v>
      </c>
    </row>
    <row r="9" spans="1:5" ht="16.5">
      <c r="A9" s="159">
        <v>4</v>
      </c>
      <c r="B9" s="159">
        <v>2000</v>
      </c>
      <c r="C9" s="159">
        <v>1000</v>
      </c>
      <c r="D9" s="159">
        <v>1200</v>
      </c>
      <c r="E9" s="159">
        <v>600</v>
      </c>
    </row>
    <row r="10" spans="1:5" ht="16.5">
      <c r="A10" s="159">
        <v>5</v>
      </c>
      <c r="B10" s="159">
        <v>2500</v>
      </c>
      <c r="C10" s="159">
        <v>1250</v>
      </c>
      <c r="D10" s="159">
        <v>1500</v>
      </c>
      <c r="E10" s="159">
        <v>750</v>
      </c>
    </row>
    <row r="11" spans="1:5" ht="16.5">
      <c r="A11" s="159">
        <v>6</v>
      </c>
      <c r="B11" s="159">
        <v>3000</v>
      </c>
      <c r="C11" s="159">
        <v>1500</v>
      </c>
      <c r="D11" s="159">
        <v>1800</v>
      </c>
      <c r="E11" s="159">
        <v>900</v>
      </c>
    </row>
    <row r="12" spans="1:5" ht="16.5">
      <c r="A12" s="159">
        <v>8</v>
      </c>
      <c r="B12" s="159">
        <v>4000</v>
      </c>
      <c r="C12" s="159">
        <v>2000</v>
      </c>
      <c r="D12" s="159">
        <v>2400</v>
      </c>
      <c r="E12" s="159">
        <v>1200</v>
      </c>
    </row>
    <row r="13" spans="1:5" ht="16.5">
      <c r="A13" s="159">
        <v>10</v>
      </c>
      <c r="B13" s="159">
        <v>5000</v>
      </c>
      <c r="C13" s="159">
        <v>2500</v>
      </c>
      <c r="D13" s="159">
        <v>3000</v>
      </c>
      <c r="E13" s="159">
        <v>1500</v>
      </c>
    </row>
    <row r="14" spans="1:5" ht="16.5">
      <c r="A14" s="159">
        <v>12</v>
      </c>
      <c r="B14" s="159">
        <v>6000</v>
      </c>
      <c r="C14" s="159">
        <v>3000</v>
      </c>
      <c r="D14" s="159">
        <v>3600</v>
      </c>
      <c r="E14" s="159">
        <v>1800</v>
      </c>
    </row>
    <row r="15" spans="1:5" ht="16.5">
      <c r="A15" s="159">
        <v>15</v>
      </c>
      <c r="B15" s="159">
        <v>7500</v>
      </c>
      <c r="C15" s="159">
        <v>3750</v>
      </c>
      <c r="D15" s="159">
        <v>4500</v>
      </c>
      <c r="E15" s="159">
        <v>2250</v>
      </c>
    </row>
    <row r="16" spans="1:5" ht="16.5">
      <c r="A16" s="159">
        <v>20</v>
      </c>
      <c r="B16" s="159">
        <v>9000</v>
      </c>
      <c r="C16" s="159">
        <v>4500</v>
      </c>
      <c r="D16" s="159">
        <v>5400</v>
      </c>
      <c r="E16" s="159">
        <v>2700</v>
      </c>
    </row>
    <row r="17" spans="1:13" ht="16.5">
      <c r="A17" s="159">
        <v>30</v>
      </c>
      <c r="B17" s="159">
        <v>12000</v>
      </c>
      <c r="C17" s="159">
        <v>6000</v>
      </c>
      <c r="D17" s="159">
        <v>7200</v>
      </c>
      <c r="E17" s="159">
        <v>3600</v>
      </c>
    </row>
    <row r="18" spans="1:13" ht="16.5">
      <c r="A18" s="159">
        <v>50</v>
      </c>
      <c r="B18" s="159">
        <v>17500</v>
      </c>
      <c r="C18" s="159">
        <v>8750</v>
      </c>
      <c r="D18" s="159">
        <v>10500</v>
      </c>
      <c r="E18" s="159">
        <v>5250</v>
      </c>
    </row>
    <row r="19" spans="1:13" ht="16.5">
      <c r="A19" s="159">
        <v>70</v>
      </c>
      <c r="B19" s="159">
        <v>24500</v>
      </c>
      <c r="C19" s="159">
        <v>12250</v>
      </c>
      <c r="D19" s="159">
        <v>14700</v>
      </c>
      <c r="E19" s="159">
        <v>7350</v>
      </c>
    </row>
    <row r="20" spans="1:13" ht="16.5">
      <c r="A20" s="159">
        <v>100</v>
      </c>
      <c r="B20" s="159">
        <v>30000</v>
      </c>
      <c r="C20" s="159">
        <v>15000</v>
      </c>
      <c r="D20" s="159">
        <v>18000</v>
      </c>
      <c r="E20" s="159">
        <v>9000</v>
      </c>
    </row>
    <row r="22" spans="1:13">
      <c r="A22" s="282" t="s">
        <v>153</v>
      </c>
      <c r="B22" s="282"/>
      <c r="C22" s="282"/>
      <c r="D22" s="282"/>
      <c r="E22" s="282"/>
      <c r="H22" s="308" t="s">
        <v>154</v>
      </c>
      <c r="I22" s="308"/>
      <c r="J22" s="308"/>
      <c r="K22" s="308"/>
      <c r="L22" s="308"/>
      <c r="M22" s="308"/>
    </row>
    <row r="23" spans="1:13" ht="21" customHeight="1">
      <c r="A23" s="282"/>
      <c r="B23" s="282"/>
      <c r="C23" s="282"/>
      <c r="D23" s="282"/>
      <c r="E23" s="282"/>
      <c r="H23" s="308"/>
      <c r="I23" s="308"/>
      <c r="J23" s="308"/>
      <c r="K23" s="308"/>
      <c r="L23" s="308"/>
      <c r="M23" s="308"/>
    </row>
    <row r="24" spans="1:13" ht="20" customHeight="1">
      <c r="A24" s="282"/>
      <c r="B24" s="282"/>
      <c r="C24" s="282"/>
      <c r="D24" s="282"/>
      <c r="E24" s="282"/>
      <c r="H24" s="308"/>
      <c r="I24" s="308"/>
      <c r="J24" s="308"/>
      <c r="K24" s="308"/>
      <c r="L24" s="308"/>
      <c r="M24" s="308"/>
    </row>
    <row r="25" spans="1:13" ht="20.25" customHeight="1">
      <c r="A25" s="293" t="s">
        <v>147</v>
      </c>
      <c r="B25" s="278" t="s">
        <v>155</v>
      </c>
      <c r="C25" s="279"/>
      <c r="D25" s="278" t="s">
        <v>156</v>
      </c>
      <c r="E25" s="279"/>
      <c r="H25" s="160" t="s">
        <v>157</v>
      </c>
      <c r="I25" s="160" t="s">
        <v>158</v>
      </c>
      <c r="J25" s="160" t="s">
        <v>159</v>
      </c>
      <c r="K25" s="160" t="s">
        <v>160</v>
      </c>
      <c r="L25" s="160" t="s">
        <v>161</v>
      </c>
      <c r="M25" s="160" t="s">
        <v>162</v>
      </c>
    </row>
    <row r="26" spans="1:13" ht="19">
      <c r="A26" s="294"/>
      <c r="B26" s="89" t="s">
        <v>150</v>
      </c>
      <c r="C26" s="89" t="s">
        <v>163</v>
      </c>
      <c r="D26" s="89" t="s">
        <v>150</v>
      </c>
      <c r="E26" s="89" t="s">
        <v>164</v>
      </c>
      <c r="H26" s="302" t="s">
        <v>165</v>
      </c>
      <c r="I26" s="302">
        <v>0</v>
      </c>
      <c r="J26" s="161">
        <v>2</v>
      </c>
      <c r="K26" s="302">
        <v>2</v>
      </c>
      <c r="L26" s="302" t="s">
        <v>166</v>
      </c>
      <c r="M26" s="307" t="s">
        <v>167</v>
      </c>
    </row>
    <row r="27" spans="1:13" ht="19">
      <c r="A27" s="159">
        <v>2</v>
      </c>
      <c r="B27" s="159">
        <v>50</v>
      </c>
      <c r="C27" s="295" t="s">
        <v>83</v>
      </c>
      <c r="D27" s="159">
        <v>30</v>
      </c>
      <c r="E27" s="295" t="s">
        <v>83</v>
      </c>
      <c r="H27" s="302"/>
      <c r="I27" s="302"/>
      <c r="J27" s="161">
        <v>3</v>
      </c>
      <c r="K27" s="302"/>
      <c r="L27" s="302"/>
      <c r="M27" s="307"/>
    </row>
    <row r="28" spans="1:13" ht="19">
      <c r="A28" s="159">
        <v>3</v>
      </c>
      <c r="B28" s="159">
        <v>75</v>
      </c>
      <c r="C28" s="296"/>
      <c r="D28" s="159">
        <v>45</v>
      </c>
      <c r="E28" s="296"/>
      <c r="H28" s="302"/>
      <c r="I28" s="302"/>
      <c r="J28" s="161">
        <v>4</v>
      </c>
      <c r="K28" s="302"/>
      <c r="L28" s="302"/>
      <c r="M28" s="307"/>
    </row>
    <row r="29" spans="1:13" ht="19">
      <c r="A29" s="159">
        <v>4</v>
      </c>
      <c r="B29" s="159">
        <v>100</v>
      </c>
      <c r="C29" s="296"/>
      <c r="D29" s="159">
        <v>60</v>
      </c>
      <c r="E29" s="296"/>
      <c r="H29" s="302"/>
      <c r="I29" s="302"/>
      <c r="J29" s="161">
        <v>5</v>
      </c>
      <c r="K29" s="302"/>
      <c r="L29" s="302"/>
      <c r="M29" s="307"/>
    </row>
    <row r="30" spans="1:13" ht="19">
      <c r="A30" s="159">
        <v>5</v>
      </c>
      <c r="B30" s="159">
        <v>125</v>
      </c>
      <c r="C30" s="296"/>
      <c r="D30" s="159">
        <v>75</v>
      </c>
      <c r="E30" s="296"/>
      <c r="H30" s="302"/>
      <c r="I30" s="302"/>
      <c r="J30" s="161">
        <v>6</v>
      </c>
      <c r="K30" s="302"/>
      <c r="L30" s="302"/>
      <c r="M30" s="307"/>
    </row>
    <row r="31" spans="1:13" ht="19">
      <c r="A31" s="159">
        <v>6</v>
      </c>
      <c r="B31" s="159">
        <v>150</v>
      </c>
      <c r="C31" s="296"/>
      <c r="D31" s="159">
        <v>90</v>
      </c>
      <c r="E31" s="296"/>
      <c r="H31" s="302"/>
      <c r="I31" s="302"/>
      <c r="J31" s="161">
        <v>8</v>
      </c>
      <c r="K31" s="302"/>
      <c r="L31" s="302"/>
      <c r="M31" s="307"/>
    </row>
    <row r="32" spans="1:13" ht="19">
      <c r="A32" s="159">
        <v>8</v>
      </c>
      <c r="B32" s="159">
        <v>200</v>
      </c>
      <c r="C32" s="296"/>
      <c r="D32" s="159">
        <v>120</v>
      </c>
      <c r="E32" s="296"/>
      <c r="H32" s="302"/>
      <c r="I32" s="302"/>
      <c r="J32" s="161">
        <v>10</v>
      </c>
      <c r="K32" s="302"/>
      <c r="L32" s="302"/>
      <c r="M32" s="307"/>
    </row>
    <row r="33" spans="1:13" ht="19">
      <c r="A33" s="159">
        <v>10</v>
      </c>
      <c r="B33" s="159">
        <v>250</v>
      </c>
      <c r="C33" s="296"/>
      <c r="D33" s="159">
        <v>150</v>
      </c>
      <c r="E33" s="296"/>
      <c r="H33" s="302"/>
      <c r="I33" s="302"/>
      <c r="J33" s="161">
        <v>12</v>
      </c>
      <c r="K33" s="302"/>
      <c r="L33" s="302"/>
      <c r="M33" s="307"/>
    </row>
    <row r="34" spans="1:13" ht="19">
      <c r="A34" s="159">
        <v>12</v>
      </c>
      <c r="B34" s="159">
        <v>300</v>
      </c>
      <c r="C34" s="296"/>
      <c r="D34" s="159">
        <v>180</v>
      </c>
      <c r="E34" s="296"/>
      <c r="H34" s="302"/>
      <c r="I34" s="302"/>
      <c r="J34" s="161">
        <v>15</v>
      </c>
      <c r="K34" s="302"/>
      <c r="L34" s="302"/>
      <c r="M34" s="307"/>
    </row>
    <row r="35" spans="1:13" ht="22" customHeight="1">
      <c r="A35" s="159">
        <v>15</v>
      </c>
      <c r="B35" s="159">
        <v>375</v>
      </c>
      <c r="C35" s="296"/>
      <c r="D35" s="159">
        <v>225</v>
      </c>
      <c r="E35" s="296"/>
      <c r="H35" s="302"/>
      <c r="I35" s="302"/>
      <c r="J35" s="161">
        <v>20</v>
      </c>
      <c r="K35" s="302"/>
      <c r="L35" s="302"/>
      <c r="M35" s="307"/>
    </row>
    <row r="36" spans="1:13" ht="19">
      <c r="A36" s="159">
        <v>20</v>
      </c>
      <c r="B36" s="159">
        <v>450</v>
      </c>
      <c r="C36" s="296"/>
      <c r="D36" s="159">
        <v>270</v>
      </c>
      <c r="E36" s="296"/>
      <c r="H36" s="302"/>
      <c r="I36" s="302"/>
      <c r="J36" s="161">
        <v>30</v>
      </c>
      <c r="K36" s="302"/>
      <c r="L36" s="302"/>
      <c r="M36" s="307"/>
    </row>
    <row r="37" spans="1:13" ht="19">
      <c r="A37" s="159">
        <v>30</v>
      </c>
      <c r="B37" s="159">
        <v>600</v>
      </c>
      <c r="C37" s="296"/>
      <c r="D37" s="159">
        <v>360</v>
      </c>
      <c r="E37" s="296"/>
      <c r="H37" s="302"/>
      <c r="I37" s="302"/>
      <c r="J37" s="161">
        <v>50</v>
      </c>
      <c r="K37" s="302"/>
      <c r="L37" s="302"/>
      <c r="M37" s="307"/>
    </row>
    <row r="38" spans="1:13" ht="19">
      <c r="A38" s="159">
        <v>50</v>
      </c>
      <c r="B38" s="159">
        <v>875</v>
      </c>
      <c r="C38" s="296"/>
      <c r="D38" s="159">
        <v>525</v>
      </c>
      <c r="E38" s="296"/>
      <c r="H38" s="302"/>
      <c r="I38" s="302"/>
      <c r="J38" s="161">
        <v>70</v>
      </c>
      <c r="K38" s="302"/>
      <c r="L38" s="302"/>
      <c r="M38" s="307"/>
    </row>
    <row r="39" spans="1:13" ht="19">
      <c r="A39" s="159">
        <v>70</v>
      </c>
      <c r="B39" s="159">
        <v>1225</v>
      </c>
      <c r="C39" s="296"/>
      <c r="D39" s="159">
        <v>735</v>
      </c>
      <c r="E39" s="296"/>
      <c r="H39" s="302"/>
      <c r="I39" s="302"/>
      <c r="J39" s="161">
        <v>100</v>
      </c>
      <c r="K39" s="302"/>
      <c r="L39" s="302"/>
      <c r="M39" s="307"/>
    </row>
    <row r="40" spans="1:13" ht="16.5">
      <c r="A40" s="159">
        <v>100</v>
      </c>
      <c r="B40" s="159">
        <v>1500</v>
      </c>
      <c r="C40" s="297"/>
      <c r="D40" s="159">
        <v>900</v>
      </c>
      <c r="E40" s="297"/>
    </row>
    <row r="41" spans="1:13" ht="16.5">
      <c r="A41" s="162"/>
      <c r="B41" s="162"/>
      <c r="C41" s="162"/>
      <c r="D41" s="162"/>
      <c r="E41" s="162"/>
    </row>
    <row r="42" spans="1:13" s="157" customFormat="1" ht="115.25" customHeight="1">
      <c r="A42" s="280" t="s">
        <v>168</v>
      </c>
      <c r="B42" s="281"/>
      <c r="C42" s="281"/>
      <c r="D42" s="281"/>
      <c r="E42" s="281"/>
      <c r="F42" s="281"/>
      <c r="G42" s="281"/>
      <c r="H42" s="281"/>
      <c r="I42" s="281"/>
      <c r="J42" s="281"/>
      <c r="K42" s="281"/>
      <c r="L42" s="281"/>
      <c r="M42" s="281"/>
    </row>
    <row r="43" spans="1:13" ht="41.25" customHeight="1">
      <c r="A43" s="42" t="s">
        <v>169</v>
      </c>
    </row>
    <row r="44" spans="1:13" s="158" customFormat="1" ht="31.25" customHeight="1">
      <c r="A44" s="282" t="s">
        <v>170</v>
      </c>
      <c r="B44" s="282"/>
      <c r="C44" s="282"/>
      <c r="D44" s="282"/>
      <c r="E44" s="282"/>
      <c r="F44" s="282"/>
      <c r="I44" s="314" t="s">
        <v>171</v>
      </c>
      <c r="J44" s="314"/>
      <c r="K44" s="314"/>
      <c r="L44" s="314"/>
      <c r="M44"/>
    </row>
    <row r="45" spans="1:13" s="158" customFormat="1" ht="33.75" customHeight="1">
      <c r="A45" s="163" t="s">
        <v>172</v>
      </c>
      <c r="B45" s="44" t="s">
        <v>173</v>
      </c>
      <c r="C45" s="44" t="s">
        <v>174</v>
      </c>
      <c r="D45" s="44" t="s">
        <v>175</v>
      </c>
      <c r="E45" s="44" t="s">
        <v>176</v>
      </c>
      <c r="F45" s="44" t="s">
        <v>177</v>
      </c>
      <c r="I45" s="314"/>
      <c r="J45" s="314"/>
      <c r="K45" s="314"/>
      <c r="L45" s="314"/>
    </row>
    <row r="46" spans="1:13" s="158" customFormat="1" ht="33.75" customHeight="1">
      <c r="A46" s="164" t="s">
        <v>178</v>
      </c>
      <c r="B46" s="47" t="s">
        <v>179</v>
      </c>
      <c r="C46" s="47" t="s">
        <v>180</v>
      </c>
      <c r="D46" s="47" t="s">
        <v>181</v>
      </c>
      <c r="E46" s="47" t="s">
        <v>182</v>
      </c>
      <c r="F46" s="47" t="s">
        <v>183</v>
      </c>
      <c r="I46" s="134" t="s">
        <v>172</v>
      </c>
      <c r="J46" s="134" t="s">
        <v>184</v>
      </c>
      <c r="K46" s="134" t="s">
        <v>185</v>
      </c>
      <c r="L46" s="134" t="s">
        <v>186</v>
      </c>
    </row>
    <row r="47" spans="1:13" s="158" customFormat="1" ht="33.75" customHeight="1">
      <c r="A47" s="164" t="s">
        <v>187</v>
      </c>
      <c r="B47" s="47" t="s">
        <v>188</v>
      </c>
      <c r="C47" s="47" t="s">
        <v>189</v>
      </c>
      <c r="D47" s="47" t="s">
        <v>190</v>
      </c>
      <c r="E47" s="47" t="s">
        <v>191</v>
      </c>
      <c r="F47" s="47" t="s">
        <v>192</v>
      </c>
      <c r="I47" s="172">
        <v>0.01</v>
      </c>
      <c r="J47" s="136">
        <v>1330</v>
      </c>
      <c r="K47" s="137">
        <v>0</v>
      </c>
      <c r="L47" s="303" t="s">
        <v>193</v>
      </c>
    </row>
    <row r="48" spans="1:13" s="158" customFormat="1" ht="33.75" customHeight="1">
      <c r="A48" s="164" t="s">
        <v>194</v>
      </c>
      <c r="B48" s="47" t="s">
        <v>195</v>
      </c>
      <c r="C48" s="47" t="s">
        <v>196</v>
      </c>
      <c r="D48" s="47" t="s">
        <v>197</v>
      </c>
      <c r="E48" s="47" t="s">
        <v>198</v>
      </c>
      <c r="F48" s="47" t="s">
        <v>199</v>
      </c>
      <c r="I48" s="172">
        <v>0.02</v>
      </c>
      <c r="J48" s="136">
        <v>2700</v>
      </c>
      <c r="K48" s="137">
        <v>0</v>
      </c>
      <c r="L48" s="304"/>
    </row>
    <row r="49" spans="1:14" s="158" customFormat="1" ht="33.75" customHeight="1">
      <c r="A49" s="164" t="s">
        <v>200</v>
      </c>
      <c r="B49" s="47" t="s">
        <v>201</v>
      </c>
      <c r="C49" s="47" t="s">
        <v>202</v>
      </c>
      <c r="D49" s="47" t="s">
        <v>203</v>
      </c>
      <c r="E49" s="47" t="s">
        <v>204</v>
      </c>
      <c r="F49" s="47" t="s">
        <v>205</v>
      </c>
      <c r="I49" s="172">
        <v>0.03</v>
      </c>
      <c r="J49" s="136">
        <v>3750</v>
      </c>
      <c r="K49" s="137">
        <v>0</v>
      </c>
      <c r="L49" s="304"/>
    </row>
    <row r="50" spans="1:14" s="158" customFormat="1" ht="42" customHeight="1">
      <c r="A50" s="164" t="s">
        <v>206</v>
      </c>
      <c r="B50" s="49">
        <v>11600</v>
      </c>
      <c r="C50" s="49">
        <v>21300</v>
      </c>
      <c r="D50" s="49">
        <v>32000</v>
      </c>
      <c r="E50" s="49">
        <v>39000</v>
      </c>
      <c r="F50" s="49">
        <v>48800</v>
      </c>
      <c r="I50" s="172">
        <v>0.05</v>
      </c>
      <c r="J50" s="136">
        <v>6200</v>
      </c>
      <c r="K50" s="137">
        <v>0</v>
      </c>
      <c r="L50" s="305"/>
    </row>
    <row r="51" spans="1:14" s="158" customFormat="1" ht="35.25" customHeight="1">
      <c r="A51" s="282" t="s">
        <v>207</v>
      </c>
      <c r="B51" s="282"/>
      <c r="C51" s="282"/>
      <c r="D51" s="282"/>
      <c r="E51" s="282"/>
      <c r="F51" s="282"/>
      <c r="I51" s="283"/>
      <c r="J51" s="284"/>
      <c r="K51" s="284"/>
      <c r="L51" s="285"/>
    </row>
    <row r="52" spans="1:14" s="158" customFormat="1" ht="33" customHeight="1">
      <c r="A52" s="163" t="s">
        <v>208</v>
      </c>
      <c r="B52" s="51" t="s">
        <v>209</v>
      </c>
      <c r="C52" s="51" t="s">
        <v>210</v>
      </c>
      <c r="D52" s="52" t="s">
        <v>211</v>
      </c>
      <c r="E52" s="52" t="s">
        <v>212</v>
      </c>
      <c r="F52" s="52" t="s">
        <v>213</v>
      </c>
      <c r="I52" s="172">
        <v>0.08</v>
      </c>
      <c r="J52" s="136">
        <v>9250</v>
      </c>
      <c r="K52" s="137">
        <v>0</v>
      </c>
      <c r="L52" s="306" t="s">
        <v>214</v>
      </c>
    </row>
    <row r="53" spans="1:14" s="158" customFormat="1" ht="33" customHeight="1">
      <c r="A53" s="164" t="s">
        <v>178</v>
      </c>
      <c r="B53" s="54" t="s">
        <v>215</v>
      </c>
      <c r="C53" s="54" t="s">
        <v>216</v>
      </c>
      <c r="D53" s="55" t="s">
        <v>217</v>
      </c>
      <c r="E53" s="55" t="s">
        <v>218</v>
      </c>
      <c r="F53" s="55" t="s">
        <v>219</v>
      </c>
      <c r="I53" s="172">
        <v>0.1</v>
      </c>
      <c r="J53" s="136">
        <v>11600</v>
      </c>
      <c r="K53" s="137">
        <v>0</v>
      </c>
      <c r="L53" s="306"/>
    </row>
    <row r="54" spans="1:14" s="158" customFormat="1" ht="33" customHeight="1">
      <c r="A54" s="164" t="s">
        <v>187</v>
      </c>
      <c r="B54" s="54" t="s">
        <v>220</v>
      </c>
      <c r="C54" s="54" t="s">
        <v>221</v>
      </c>
      <c r="D54" s="55" t="s">
        <v>222</v>
      </c>
      <c r="E54" s="55" t="s">
        <v>223</v>
      </c>
      <c r="F54" s="55" t="s">
        <v>224</v>
      </c>
      <c r="I54" s="172">
        <v>0.2</v>
      </c>
      <c r="J54" s="136">
        <v>21300</v>
      </c>
      <c r="K54" s="137">
        <v>0</v>
      </c>
      <c r="L54" s="306"/>
    </row>
    <row r="55" spans="1:14" s="158" customFormat="1" ht="33" customHeight="1">
      <c r="A55" s="164" t="s">
        <v>194</v>
      </c>
      <c r="B55" s="54" t="s">
        <v>225</v>
      </c>
      <c r="C55" s="54" t="s">
        <v>226</v>
      </c>
      <c r="D55" s="47" t="s">
        <v>227</v>
      </c>
      <c r="E55" s="47" t="s">
        <v>228</v>
      </c>
      <c r="F55" s="47" t="s">
        <v>229</v>
      </c>
      <c r="I55" s="172">
        <v>0.3</v>
      </c>
      <c r="J55" s="136">
        <v>32000</v>
      </c>
      <c r="K55" s="137">
        <v>0</v>
      </c>
      <c r="L55" s="306"/>
    </row>
    <row r="56" spans="1:14" s="158" customFormat="1" ht="33" customHeight="1">
      <c r="A56" s="164" t="s">
        <v>200</v>
      </c>
      <c r="B56" s="54" t="s">
        <v>230</v>
      </c>
      <c r="C56" s="54" t="s">
        <v>231</v>
      </c>
      <c r="D56" s="47" t="s">
        <v>232</v>
      </c>
      <c r="E56" s="47" t="s">
        <v>233</v>
      </c>
      <c r="F56" s="47" t="s">
        <v>234</v>
      </c>
      <c r="I56" s="172">
        <v>0.4</v>
      </c>
      <c r="J56" s="136">
        <v>39000</v>
      </c>
      <c r="K56" s="137">
        <v>0</v>
      </c>
      <c r="L56" s="306"/>
    </row>
    <row r="57" spans="1:14" s="158" customFormat="1" ht="42.75" customHeight="1">
      <c r="A57" s="164" t="s">
        <v>206</v>
      </c>
      <c r="B57" s="57">
        <v>1330</v>
      </c>
      <c r="C57" s="57">
        <v>2700</v>
      </c>
      <c r="D57" s="58">
        <v>3750</v>
      </c>
      <c r="E57" s="58">
        <v>6200</v>
      </c>
      <c r="F57" s="58">
        <v>9250</v>
      </c>
      <c r="I57" s="172">
        <v>0.5</v>
      </c>
      <c r="J57" s="136">
        <v>48800</v>
      </c>
      <c r="K57" s="137">
        <v>0</v>
      </c>
      <c r="L57" s="306"/>
    </row>
    <row r="58" spans="1:14" s="158" customFormat="1" ht="225" customHeight="1">
      <c r="A58" s="286" t="s">
        <v>235</v>
      </c>
      <c r="B58" s="287"/>
      <c r="C58" s="287"/>
      <c r="D58" s="287"/>
      <c r="E58" s="287"/>
      <c r="F58" s="288"/>
      <c r="I58" s="289" t="s">
        <v>236</v>
      </c>
      <c r="J58" s="289"/>
      <c r="K58" s="289"/>
      <c r="L58" s="289"/>
      <c r="M58" s="173"/>
      <c r="N58" s="173"/>
    </row>
    <row r="61" spans="1:14" ht="20">
      <c r="A61" s="235" t="s">
        <v>237</v>
      </c>
      <c r="B61" s="236"/>
      <c r="C61" s="236"/>
      <c r="D61" s="236"/>
      <c r="E61" s="236"/>
      <c r="F61" s="236"/>
      <c r="G61" s="236"/>
      <c r="H61" s="236"/>
      <c r="I61" s="236"/>
      <c r="J61" s="237"/>
    </row>
    <row r="62" spans="1:14" ht="22.5">
      <c r="A62" s="165"/>
      <c r="B62" s="165"/>
      <c r="C62" s="166" t="s">
        <v>238</v>
      </c>
      <c r="D62" s="167"/>
      <c r="E62" s="167"/>
      <c r="F62" s="167"/>
      <c r="G62" s="167"/>
      <c r="H62" s="167"/>
      <c r="I62" s="167"/>
      <c r="J62" s="167"/>
    </row>
    <row r="63" spans="1:14" ht="16.5">
      <c r="A63" s="168"/>
      <c r="B63" s="169"/>
      <c r="C63" s="169"/>
      <c r="D63" s="169"/>
      <c r="E63" s="169"/>
      <c r="F63" s="169"/>
      <c r="G63" s="169"/>
      <c r="H63" s="169"/>
      <c r="I63" s="169"/>
      <c r="J63" s="174"/>
    </row>
    <row r="64" spans="1:14" ht="16.5">
      <c r="A64" s="170"/>
      <c r="B64" s="171"/>
      <c r="C64" s="171"/>
      <c r="D64" s="171"/>
      <c r="E64" s="171"/>
      <c r="F64" s="171"/>
      <c r="G64" s="171"/>
      <c r="H64" s="171"/>
      <c r="I64" s="171"/>
      <c r="J64" s="175"/>
    </row>
    <row r="65" spans="1:10" ht="16.5">
      <c r="A65" s="170"/>
      <c r="B65" s="171"/>
      <c r="C65" s="171"/>
      <c r="D65" s="171"/>
      <c r="E65" s="171"/>
      <c r="F65" s="171"/>
      <c r="G65" s="171"/>
      <c r="H65" s="171"/>
      <c r="I65" s="171"/>
      <c r="J65" s="175"/>
    </row>
    <row r="66" spans="1:10" ht="16.5">
      <c r="A66" s="170"/>
      <c r="B66" s="171"/>
      <c r="C66" s="171"/>
      <c r="D66" s="171"/>
      <c r="E66" s="171"/>
      <c r="F66" s="171"/>
      <c r="G66" s="171"/>
      <c r="H66" s="171"/>
      <c r="I66" s="171"/>
      <c r="J66" s="175"/>
    </row>
    <row r="67" spans="1:10" ht="16.5">
      <c r="A67" s="176"/>
      <c r="B67" s="177"/>
      <c r="C67" s="177"/>
      <c r="D67" s="177"/>
      <c r="E67" s="177"/>
      <c r="F67" s="177"/>
      <c r="G67" s="177"/>
      <c r="H67" s="177"/>
      <c r="I67" s="177"/>
      <c r="J67" s="179"/>
    </row>
    <row r="68" spans="1:10" ht="16.5">
      <c r="A68" s="178"/>
      <c r="B68" s="178"/>
      <c r="C68" s="178"/>
      <c r="D68" s="178"/>
      <c r="E68" s="178"/>
      <c r="F68" s="178"/>
      <c r="G68" s="178"/>
      <c r="H68" s="178"/>
      <c r="I68" s="178"/>
      <c r="J68" s="178"/>
    </row>
    <row r="70" spans="1:10" ht="22.5">
      <c r="A70" s="42" t="s">
        <v>239</v>
      </c>
    </row>
    <row r="71" spans="1:10">
      <c r="A71" s="226" t="s">
        <v>240</v>
      </c>
      <c r="B71" s="309"/>
      <c r="C71" s="309"/>
      <c r="D71" s="227"/>
      <c r="E71"/>
      <c r="F71" s="282" t="s">
        <v>241</v>
      </c>
      <c r="G71" s="282"/>
      <c r="H71" s="282"/>
      <c r="I71"/>
    </row>
    <row r="72" spans="1:10">
      <c r="A72" s="228"/>
      <c r="B72" s="310"/>
      <c r="C72" s="310"/>
      <c r="D72" s="229"/>
      <c r="E72"/>
      <c r="F72" s="282"/>
      <c r="G72" s="282"/>
      <c r="H72" s="282"/>
      <c r="I72"/>
    </row>
    <row r="73" spans="1:10">
      <c r="A73" s="311"/>
      <c r="B73" s="312"/>
      <c r="C73" s="312"/>
      <c r="D73" s="313"/>
      <c r="E73"/>
      <c r="F73" s="282"/>
      <c r="G73" s="282"/>
      <c r="H73" s="282"/>
      <c r="I73"/>
    </row>
    <row r="74" spans="1:10" ht="33">
      <c r="A74" s="88" t="s">
        <v>242</v>
      </c>
      <c r="B74" s="89" t="s">
        <v>243</v>
      </c>
      <c r="C74" s="89" t="s">
        <v>244</v>
      </c>
      <c r="D74" s="90" t="s">
        <v>245</v>
      </c>
      <c r="E74"/>
      <c r="F74" s="91" t="s">
        <v>246</v>
      </c>
      <c r="G74" s="91" t="s">
        <v>247</v>
      </c>
      <c r="H74" s="91" t="s">
        <v>248</v>
      </c>
    </row>
    <row r="75" spans="1:10" ht="16.5">
      <c r="A75" s="92">
        <v>5</v>
      </c>
      <c r="B75" s="93">
        <v>8</v>
      </c>
      <c r="C75" s="93">
        <v>6</v>
      </c>
      <c r="D75" s="298" t="s">
        <v>249</v>
      </c>
      <c r="E75"/>
      <c r="F75" s="300" t="s">
        <v>250</v>
      </c>
      <c r="G75" s="300">
        <v>4</v>
      </c>
      <c r="H75" s="300">
        <v>2.8</v>
      </c>
    </row>
    <row r="76" spans="1:10" ht="16.5">
      <c r="A76" s="92">
        <v>10</v>
      </c>
      <c r="B76" s="93">
        <v>13</v>
      </c>
      <c r="C76" s="93">
        <v>10</v>
      </c>
      <c r="D76" s="298"/>
      <c r="E76"/>
      <c r="F76" s="301"/>
      <c r="G76" s="301"/>
      <c r="H76" s="301"/>
    </row>
    <row r="77" spans="1:10" ht="16.5">
      <c r="A77" s="92">
        <v>20</v>
      </c>
      <c r="B77" s="93">
        <v>25</v>
      </c>
      <c r="C77" s="93">
        <v>19</v>
      </c>
      <c r="D77" s="298"/>
      <c r="E77"/>
      <c r="F77" s="300" t="s">
        <v>251</v>
      </c>
      <c r="G77" s="300">
        <v>4</v>
      </c>
      <c r="H77" s="300">
        <v>2.4</v>
      </c>
    </row>
    <row r="78" spans="1:10" ht="16.5">
      <c r="A78" s="92">
        <v>30</v>
      </c>
      <c r="B78" s="93">
        <v>39</v>
      </c>
      <c r="C78" s="93">
        <v>29</v>
      </c>
      <c r="D78" s="298"/>
      <c r="E78"/>
      <c r="F78" s="301"/>
      <c r="G78" s="301"/>
      <c r="H78" s="301"/>
    </row>
    <row r="79" spans="1:10" ht="16.5">
      <c r="A79" s="92">
        <v>50</v>
      </c>
      <c r="B79" s="93">
        <v>65</v>
      </c>
      <c r="C79" s="93">
        <v>49</v>
      </c>
      <c r="D79" s="298"/>
      <c r="E79"/>
      <c r="F79" s="300" t="s">
        <v>252</v>
      </c>
      <c r="G79" s="300">
        <v>4</v>
      </c>
      <c r="H79" s="300">
        <v>2</v>
      </c>
    </row>
    <row r="80" spans="1:10" ht="16.5">
      <c r="A80" s="94">
        <v>80</v>
      </c>
      <c r="B80" s="95">
        <v>92</v>
      </c>
      <c r="C80" s="95">
        <v>69</v>
      </c>
      <c r="D80" s="299"/>
      <c r="E80"/>
      <c r="F80" s="301"/>
      <c r="G80" s="301"/>
      <c r="H80" s="301"/>
    </row>
    <row r="81" spans="1:9" ht="168" customHeight="1">
      <c r="A81" s="221" t="s">
        <v>253</v>
      </c>
      <c r="B81" s="290"/>
      <c r="C81" s="290"/>
      <c r="D81" s="222"/>
      <c r="E81"/>
      <c r="F81" s="291" t="s">
        <v>254</v>
      </c>
      <c r="G81" s="292"/>
      <c r="H81" s="292"/>
      <c r="I81" s="106"/>
    </row>
    <row r="82" spans="1:9">
      <c r="A82"/>
      <c r="B82"/>
      <c r="C82"/>
      <c r="D82"/>
      <c r="E82"/>
    </row>
    <row r="83" spans="1:9">
      <c r="A83"/>
      <c r="B83"/>
      <c r="C83"/>
      <c r="D83"/>
      <c r="E83"/>
    </row>
    <row r="84" spans="1:9">
      <c r="A84"/>
      <c r="B84"/>
      <c r="C84"/>
      <c r="D84"/>
      <c r="E84"/>
    </row>
    <row r="85" spans="1:9">
      <c r="A85"/>
      <c r="B85"/>
      <c r="C85"/>
      <c r="D85"/>
      <c r="E85"/>
    </row>
    <row r="86" spans="1:9">
      <c r="A86"/>
      <c r="B86"/>
      <c r="C86"/>
      <c r="D86"/>
      <c r="E86"/>
    </row>
    <row r="87" spans="1:9">
      <c r="A87"/>
      <c r="B87"/>
      <c r="C87"/>
      <c r="D87"/>
      <c r="E87"/>
    </row>
    <row r="88" spans="1:9">
      <c r="A88"/>
      <c r="B88"/>
      <c r="C88"/>
      <c r="D88"/>
      <c r="E88"/>
    </row>
    <row r="89" spans="1:9">
      <c r="A89"/>
      <c r="B89"/>
      <c r="C89"/>
      <c r="D89"/>
      <c r="E89"/>
    </row>
  </sheetData>
  <mergeCells count="40">
    <mergeCell ref="A2:E4"/>
    <mergeCell ref="A22:E24"/>
    <mergeCell ref="H22:M24"/>
    <mergeCell ref="A71:D73"/>
    <mergeCell ref="F71:H73"/>
    <mergeCell ref="I44:L45"/>
    <mergeCell ref="H77:H78"/>
    <mergeCell ref="H79:H80"/>
    <mergeCell ref="I26:I39"/>
    <mergeCell ref="K26:K39"/>
    <mergeCell ref="L26:L39"/>
    <mergeCell ref="L47:L50"/>
    <mergeCell ref="L52:L57"/>
    <mergeCell ref="A61:J61"/>
    <mergeCell ref="A81:D81"/>
    <mergeCell ref="F81:H81"/>
    <mergeCell ref="A5:A6"/>
    <mergeCell ref="A25:A26"/>
    <mergeCell ref="C27:C40"/>
    <mergeCell ref="D75:D80"/>
    <mergeCell ref="E27:E40"/>
    <mergeCell ref="F75:F76"/>
    <mergeCell ref="F77:F78"/>
    <mergeCell ref="F79:F80"/>
    <mergeCell ref="G75:G76"/>
    <mergeCell ref="G77:G78"/>
    <mergeCell ref="G79:G80"/>
    <mergeCell ref="H26:H39"/>
    <mergeCell ref="H75:H76"/>
    <mergeCell ref="A44:F44"/>
    <mergeCell ref="A51:F51"/>
    <mergeCell ref="I51:L51"/>
    <mergeCell ref="A58:F58"/>
    <mergeCell ref="I58:L58"/>
    <mergeCell ref="B5:C5"/>
    <mergeCell ref="D5:E5"/>
    <mergeCell ref="B25:C25"/>
    <mergeCell ref="D25:E25"/>
    <mergeCell ref="A42:M42"/>
    <mergeCell ref="M26:M39"/>
  </mergeCells>
  <phoneticPr fontId="59" type="noConversion"/>
  <pageMargins left="0.70069444444444495" right="0.70069444444444495" top="0.75138888888888899" bottom="0.75138888888888899" header="0.29861111111111099" footer="0.29861111111111099"/>
  <pageSetup paperSize="8" orientation="landscape"/>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XEZ19"/>
  <sheetViews>
    <sheetView zoomScale="80" zoomScaleNormal="80" workbookViewId="0">
      <selection activeCell="A14" sqref="A14:F19"/>
    </sheetView>
  </sheetViews>
  <sheetFormatPr defaultColWidth="9" defaultRowHeight="16.5"/>
  <cols>
    <col min="1" max="1" width="15.4140625" style="27" customWidth="1"/>
    <col min="2" max="2" width="19" style="27" customWidth="1"/>
    <col min="3" max="3" width="21.75" style="27" customWidth="1"/>
    <col min="4" max="4" width="49.4140625" style="27" customWidth="1"/>
    <col min="5" max="5" width="29.75" style="27" customWidth="1"/>
    <col min="6" max="6" width="28.9140625" style="27" customWidth="1"/>
    <col min="7" max="7" width="23.25" style="27" customWidth="1"/>
    <col min="8" max="8" width="16.08203125" style="27" customWidth="1"/>
    <col min="9" max="9" width="11.6640625" style="27" customWidth="1"/>
    <col min="10" max="10" width="12.08203125" style="27" customWidth="1"/>
    <col min="11" max="11" width="12.33203125" style="27" customWidth="1"/>
    <col min="12" max="12" width="13.08203125" style="27" customWidth="1"/>
    <col min="13" max="13" width="8.33203125" style="27" customWidth="1"/>
    <col min="14" max="14" width="8" style="27" customWidth="1"/>
    <col min="15" max="15" width="10.9140625" style="27" customWidth="1"/>
    <col min="16" max="16380" width="9" style="27"/>
    <col min="16381" max="16384" width="9" style="153"/>
  </cols>
  <sheetData>
    <row r="1" spans="1:8" s="27" customFormat="1" ht="36" customHeight="1">
      <c r="A1" s="315" t="s">
        <v>255</v>
      </c>
      <c r="B1" s="316"/>
      <c r="C1" s="317"/>
      <c r="D1" s="317"/>
      <c r="E1" s="317"/>
      <c r="F1" s="318"/>
      <c r="H1" s="154" t="s">
        <v>256</v>
      </c>
    </row>
    <row r="2" spans="1:8" s="27" customFormat="1" ht="45" customHeight="1">
      <c r="A2" s="70" t="s">
        <v>257</v>
      </c>
      <c r="B2" s="71" t="s">
        <v>258</v>
      </c>
      <c r="C2" s="72" t="s">
        <v>259</v>
      </c>
      <c r="D2" s="72" t="s">
        <v>258</v>
      </c>
      <c r="E2" s="72" t="s">
        <v>260</v>
      </c>
      <c r="F2" s="73" t="s">
        <v>261</v>
      </c>
    </row>
    <row r="3" spans="1:8" s="27" customFormat="1" ht="28.5" customHeight="1">
      <c r="A3" s="321" t="s">
        <v>262</v>
      </c>
      <c r="B3" s="74" t="s">
        <v>263</v>
      </c>
      <c r="C3" s="75" t="s">
        <v>264</v>
      </c>
      <c r="D3" s="74" t="s">
        <v>263</v>
      </c>
      <c r="E3" s="75">
        <v>8.9</v>
      </c>
      <c r="F3" s="76">
        <v>8.1</v>
      </c>
    </row>
    <row r="4" spans="1:8" s="27" customFormat="1" ht="28.5" customHeight="1">
      <c r="A4" s="322"/>
      <c r="B4" s="74" t="s">
        <v>263</v>
      </c>
      <c r="C4" s="75" t="s">
        <v>265</v>
      </c>
      <c r="D4" s="74" t="s">
        <v>263</v>
      </c>
      <c r="E4" s="75">
        <v>7.6</v>
      </c>
      <c r="F4" s="76">
        <v>5.7</v>
      </c>
    </row>
    <row r="5" spans="1:8" s="27" customFormat="1" ht="28.5" customHeight="1">
      <c r="A5" s="321" t="s">
        <v>266</v>
      </c>
      <c r="B5" s="324" t="s">
        <v>267</v>
      </c>
      <c r="C5" s="75" t="s">
        <v>264</v>
      </c>
      <c r="D5" s="77" t="s">
        <v>268</v>
      </c>
      <c r="E5" s="78">
        <v>3.47</v>
      </c>
      <c r="F5" s="79">
        <v>2.98</v>
      </c>
    </row>
    <row r="6" spans="1:8" s="27" customFormat="1" ht="28.5" customHeight="1">
      <c r="A6" s="323"/>
      <c r="B6" s="324"/>
      <c r="C6" s="75" t="s">
        <v>265</v>
      </c>
      <c r="D6" s="77" t="s">
        <v>268</v>
      </c>
      <c r="E6" s="78">
        <v>2.4</v>
      </c>
      <c r="F6" s="79">
        <v>1.93</v>
      </c>
    </row>
    <row r="7" spans="1:8" s="27" customFormat="1" ht="28.5" customHeight="1">
      <c r="A7" s="323"/>
      <c r="B7" s="324" t="s">
        <v>269</v>
      </c>
      <c r="C7" s="75" t="s">
        <v>264</v>
      </c>
      <c r="D7" s="77" t="s">
        <v>270</v>
      </c>
      <c r="E7" s="78">
        <v>0.55000000000000004</v>
      </c>
      <c r="F7" s="79">
        <v>0.49</v>
      </c>
    </row>
    <row r="8" spans="1:8" s="27" customFormat="1" ht="28.5" customHeight="1">
      <c r="A8" s="322"/>
      <c r="B8" s="324"/>
      <c r="C8" s="75" t="s">
        <v>265</v>
      </c>
      <c r="D8" s="77" t="s">
        <v>270</v>
      </c>
      <c r="E8" s="78">
        <v>0.39</v>
      </c>
      <c r="F8" s="79">
        <v>0.31</v>
      </c>
    </row>
    <row r="9" spans="1:8" s="27" customFormat="1" ht="28.5" customHeight="1">
      <c r="A9" s="321" t="s">
        <v>271</v>
      </c>
      <c r="B9" s="324" t="s">
        <v>267</v>
      </c>
      <c r="C9" s="75" t="s">
        <v>264</v>
      </c>
      <c r="D9" s="77" t="s">
        <v>272</v>
      </c>
      <c r="E9" s="78">
        <v>3.94</v>
      </c>
      <c r="F9" s="79">
        <v>3.23</v>
      </c>
    </row>
    <row r="10" spans="1:8" s="27" customFormat="1" ht="28.5" customHeight="1">
      <c r="A10" s="323"/>
      <c r="B10" s="324"/>
      <c r="C10" s="75" t="s">
        <v>265</v>
      </c>
      <c r="D10" s="80" t="s">
        <v>272</v>
      </c>
      <c r="E10" s="78">
        <v>2.83</v>
      </c>
      <c r="F10" s="79">
        <v>2.2400000000000002</v>
      </c>
    </row>
    <row r="11" spans="1:8" s="27" customFormat="1" ht="28.5" customHeight="1">
      <c r="A11" s="323"/>
      <c r="B11" s="324" t="s">
        <v>269</v>
      </c>
      <c r="C11" s="75" t="s">
        <v>264</v>
      </c>
      <c r="D11" s="80" t="s">
        <v>273</v>
      </c>
      <c r="E11" s="81">
        <v>0.15</v>
      </c>
      <c r="F11" s="82">
        <v>0.13</v>
      </c>
    </row>
    <row r="12" spans="1:8" s="27" customFormat="1" ht="28.5" customHeight="1">
      <c r="A12" s="323"/>
      <c r="B12" s="324"/>
      <c r="C12" s="75" t="s">
        <v>265</v>
      </c>
      <c r="D12" s="80" t="s">
        <v>273</v>
      </c>
      <c r="E12" s="81">
        <v>0.13</v>
      </c>
      <c r="F12" s="82">
        <v>0.1</v>
      </c>
    </row>
    <row r="13" spans="1:8" s="27" customFormat="1" ht="28.5" customHeight="1">
      <c r="A13" s="155" t="s">
        <v>75</v>
      </c>
      <c r="B13" s="156"/>
      <c r="C13" s="319" t="s">
        <v>274</v>
      </c>
      <c r="D13" s="319"/>
      <c r="E13" s="319"/>
      <c r="F13" s="320"/>
    </row>
    <row r="14" spans="1:8" ht="26.25" customHeight="1">
      <c r="A14" s="325" t="s">
        <v>275</v>
      </c>
      <c r="B14" s="326"/>
      <c r="C14" s="326"/>
      <c r="D14" s="326"/>
      <c r="E14" s="326"/>
      <c r="F14" s="326"/>
    </row>
    <row r="15" spans="1:8" ht="26.25" customHeight="1">
      <c r="A15" s="327"/>
      <c r="B15" s="328"/>
      <c r="C15" s="328"/>
      <c r="D15" s="328"/>
      <c r="E15" s="328"/>
      <c r="F15" s="328"/>
    </row>
    <row r="16" spans="1:8" ht="26.25" customHeight="1">
      <c r="A16" s="327"/>
      <c r="B16" s="328"/>
      <c r="C16" s="328"/>
      <c r="D16" s="328"/>
      <c r="E16" s="328"/>
      <c r="F16" s="328"/>
    </row>
    <row r="17" spans="1:6" ht="26.25" customHeight="1">
      <c r="A17" s="327"/>
      <c r="B17" s="328"/>
      <c r="C17" s="328"/>
      <c r="D17" s="328"/>
      <c r="E17" s="328"/>
      <c r="F17" s="328"/>
    </row>
    <row r="18" spans="1:6" ht="26.25" customHeight="1">
      <c r="A18" s="327"/>
      <c r="B18" s="328"/>
      <c r="C18" s="328"/>
      <c r="D18" s="328"/>
      <c r="E18" s="328"/>
      <c r="F18" s="328"/>
    </row>
    <row r="19" spans="1:6" ht="103" customHeight="1">
      <c r="A19" s="327"/>
      <c r="B19" s="328"/>
      <c r="C19" s="328"/>
      <c r="D19" s="328"/>
      <c r="E19" s="328"/>
      <c r="F19" s="328"/>
    </row>
  </sheetData>
  <mergeCells count="10">
    <mergeCell ref="A14:F19"/>
    <mergeCell ref="A1:F1"/>
    <mergeCell ref="C13:F13"/>
    <mergeCell ref="A3:A4"/>
    <mergeCell ref="A5:A8"/>
    <mergeCell ref="A9:A12"/>
    <mergeCell ref="B5:B6"/>
    <mergeCell ref="B7:B8"/>
    <mergeCell ref="B9:B10"/>
    <mergeCell ref="B11:B12"/>
  </mergeCells>
  <phoneticPr fontId="59" type="noConversion"/>
  <pageMargins left="0.75138888888888899" right="0.75138888888888899" top="1" bottom="1" header="0.5" footer="0.5"/>
  <pageSetup paperSize="8" scale="62" orientation="landscape"/>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F4"/>
  <sheetViews>
    <sheetView topLeftCell="A12" workbookViewId="0">
      <selection activeCell="A14" sqref="A14:F19"/>
    </sheetView>
  </sheetViews>
  <sheetFormatPr defaultColWidth="9" defaultRowHeight="14"/>
  <cols>
    <col min="1" max="1" width="17.08203125" customWidth="1"/>
    <col min="2" max="2" width="20" customWidth="1"/>
    <col min="3" max="3" width="32.75" customWidth="1"/>
    <col min="4" max="4" width="10.4140625" customWidth="1"/>
    <col min="5" max="5" width="13.25" customWidth="1"/>
    <col min="6" max="6" width="17.4140625" customWidth="1"/>
  </cols>
  <sheetData>
    <row r="1" spans="1:6" ht="20">
      <c r="A1" s="329" t="s">
        <v>276</v>
      </c>
      <c r="B1" s="329"/>
      <c r="C1" s="329"/>
      <c r="D1" s="329"/>
    </row>
    <row r="2" spans="1:6" ht="15" customHeight="1">
      <c r="A2" s="96" t="s">
        <v>277</v>
      </c>
      <c r="B2" s="96" t="s">
        <v>278</v>
      </c>
      <c r="C2" s="96" t="s">
        <v>5</v>
      </c>
      <c r="D2" s="96" t="s">
        <v>279</v>
      </c>
      <c r="E2" s="96" t="s">
        <v>280</v>
      </c>
      <c r="F2" s="96" t="s">
        <v>281</v>
      </c>
    </row>
    <row r="3" spans="1:6" ht="49.5">
      <c r="A3" s="97" t="s">
        <v>282</v>
      </c>
      <c r="B3" s="97">
        <v>15</v>
      </c>
      <c r="C3" s="152" t="s">
        <v>283</v>
      </c>
      <c r="D3" s="97" t="s">
        <v>83</v>
      </c>
      <c r="E3" s="97" t="s">
        <v>284</v>
      </c>
      <c r="F3" s="97">
        <v>6</v>
      </c>
    </row>
    <row r="4" spans="1:6" ht="53.4" customHeight="1">
      <c r="A4" s="97" t="s">
        <v>285</v>
      </c>
      <c r="B4" s="97">
        <v>20</v>
      </c>
      <c r="C4" s="152" t="s">
        <v>283</v>
      </c>
      <c r="D4" s="97" t="s">
        <v>83</v>
      </c>
      <c r="E4" s="97" t="s">
        <v>286</v>
      </c>
      <c r="F4" s="97">
        <v>6</v>
      </c>
    </row>
  </sheetData>
  <mergeCells count="1">
    <mergeCell ref="A1:D1"/>
  </mergeCells>
  <phoneticPr fontId="59" type="noConversion"/>
  <pageMargins left="0.70069444444444495" right="0.70069444444444495" top="0.75138888888888899" bottom="0.75138888888888899" header="0.29861111111111099" footer="0.29861111111111099"/>
  <pageSetup paperSize="8" orientation="landscape"/>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4"/>
  <sheetViews>
    <sheetView workbookViewId="0">
      <selection sqref="A1:B4"/>
    </sheetView>
  </sheetViews>
  <sheetFormatPr defaultColWidth="9" defaultRowHeight="14"/>
  <cols>
    <col min="1" max="1" width="10.4140625" customWidth="1"/>
    <col min="2" max="2" width="29.33203125" customWidth="1"/>
  </cols>
  <sheetData>
    <row r="1" spans="1:2" ht="20">
      <c r="A1" s="329" t="s">
        <v>287</v>
      </c>
      <c r="B1" s="329"/>
    </row>
    <row r="2" spans="1:2" ht="16.5">
      <c r="A2" s="96" t="s">
        <v>288</v>
      </c>
      <c r="B2" s="96" t="s">
        <v>289</v>
      </c>
    </row>
    <row r="3" spans="1:2" ht="16.5">
      <c r="A3" s="97" t="s">
        <v>290</v>
      </c>
      <c r="B3" s="97" t="s">
        <v>291</v>
      </c>
    </row>
    <row r="4" spans="1:2" ht="33">
      <c r="A4" s="97" t="s">
        <v>24</v>
      </c>
      <c r="B4" s="97" t="s">
        <v>291</v>
      </c>
    </row>
  </sheetData>
  <mergeCells count="1">
    <mergeCell ref="A1:B1"/>
  </mergeCells>
  <phoneticPr fontId="59"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U99"/>
  <sheetViews>
    <sheetView topLeftCell="A76" zoomScale="70" zoomScaleNormal="70" workbookViewId="0">
      <selection activeCell="A4" sqref="A4:A5"/>
    </sheetView>
  </sheetViews>
  <sheetFormatPr defaultColWidth="8.6640625" defaultRowHeight="14"/>
  <cols>
    <col min="1" max="1" width="17" style="69" customWidth="1"/>
    <col min="2" max="2" width="8.75" style="69" customWidth="1"/>
    <col min="3" max="3" width="21.9140625" style="69" customWidth="1"/>
    <col min="4" max="4" width="22.75" style="69" customWidth="1"/>
    <col min="5" max="5" width="12.75" style="69" customWidth="1"/>
    <col min="6" max="7" width="9.08203125" style="69" customWidth="1"/>
    <col min="8" max="8" width="11.75" style="69" customWidth="1"/>
    <col min="9" max="9" width="8.9140625" style="69"/>
    <col min="10" max="10" width="13.58203125" style="69" customWidth="1"/>
    <col min="11" max="11" width="8.9140625" style="69"/>
    <col min="12" max="12" width="8.08203125" style="69" customWidth="1"/>
    <col min="13" max="13" width="11.25" style="69" customWidth="1"/>
    <col min="14" max="14" width="24.6640625" style="69" customWidth="1"/>
    <col min="15" max="15" width="20.25" style="69" customWidth="1"/>
    <col min="16" max="16" width="15.83203125" style="69" customWidth="1"/>
    <col min="17" max="16384" width="8.6640625" style="69"/>
  </cols>
  <sheetData>
    <row r="1" spans="1:21" ht="13.75" customHeight="1">
      <c r="F1" s="132"/>
      <c r="G1" s="132"/>
    </row>
    <row r="2" spans="1:21" ht="30">
      <c r="A2" s="330" t="s">
        <v>292</v>
      </c>
      <c r="B2" s="330"/>
      <c r="C2" s="330"/>
      <c r="D2" s="330"/>
      <c r="E2" s="330"/>
      <c r="F2" s="330"/>
      <c r="G2" s="330"/>
    </row>
    <row r="3" spans="1:21" ht="28.25" customHeight="1">
      <c r="A3" s="331" t="s">
        <v>293</v>
      </c>
      <c r="B3" s="332"/>
      <c r="C3" s="332"/>
      <c r="D3" s="332"/>
      <c r="E3" s="332"/>
      <c r="F3" s="332"/>
      <c r="G3" s="332"/>
    </row>
    <row r="4" spans="1:21" ht="16.5">
      <c r="A4" s="340" t="s">
        <v>294</v>
      </c>
      <c r="B4" s="340" t="s">
        <v>295</v>
      </c>
      <c r="C4" s="333" t="s">
        <v>296</v>
      </c>
      <c r="D4" s="333"/>
      <c r="E4" s="333" t="s">
        <v>297</v>
      </c>
      <c r="F4" s="333" t="s">
        <v>243</v>
      </c>
      <c r="G4" s="366" t="s">
        <v>298</v>
      </c>
      <c r="H4" s="374" t="s">
        <v>5</v>
      </c>
      <c r="I4" s="375"/>
      <c r="J4" s="376"/>
      <c r="L4" s="334" t="s">
        <v>299</v>
      </c>
      <c r="M4" s="335"/>
      <c r="N4" s="335"/>
      <c r="O4" s="335"/>
      <c r="P4" s="336"/>
    </row>
    <row r="5" spans="1:21" s="131" customFormat="1" ht="33">
      <c r="A5" s="340"/>
      <c r="B5" s="340"/>
      <c r="C5" s="98" t="s">
        <v>300</v>
      </c>
      <c r="D5" s="98" t="s">
        <v>301</v>
      </c>
      <c r="E5" s="333"/>
      <c r="F5" s="333"/>
      <c r="G5" s="367"/>
      <c r="H5" s="377"/>
      <c r="I5" s="378"/>
      <c r="J5" s="379"/>
      <c r="L5" s="133" t="s">
        <v>294</v>
      </c>
      <c r="M5" s="134" t="s">
        <v>301</v>
      </c>
      <c r="N5" s="134" t="s">
        <v>302</v>
      </c>
      <c r="O5" s="134" t="s">
        <v>303</v>
      </c>
      <c r="P5" s="135" t="s">
        <v>186</v>
      </c>
    </row>
    <row r="6" spans="1:21" ht="16.5">
      <c r="A6" s="341" t="s">
        <v>304</v>
      </c>
      <c r="B6" s="341" t="s">
        <v>305</v>
      </c>
      <c r="C6" s="341" t="s">
        <v>306</v>
      </c>
      <c r="D6" s="100" t="s">
        <v>307</v>
      </c>
      <c r="E6" s="63">
        <v>0.18</v>
      </c>
      <c r="F6" s="101">
        <v>600</v>
      </c>
      <c r="G6" s="102">
        <v>600</v>
      </c>
      <c r="H6" s="380" t="s">
        <v>308</v>
      </c>
      <c r="I6" s="381"/>
      <c r="J6" s="382"/>
      <c r="L6" s="368" t="s">
        <v>304</v>
      </c>
      <c r="M6" s="6" t="s">
        <v>307</v>
      </c>
      <c r="N6" s="136">
        <v>600</v>
      </c>
      <c r="O6" s="137">
        <v>0</v>
      </c>
      <c r="P6" s="370" t="s">
        <v>309</v>
      </c>
    </row>
    <row r="7" spans="1:21" ht="16.5">
      <c r="A7" s="341"/>
      <c r="B7" s="341"/>
      <c r="C7" s="341"/>
      <c r="D7" s="100" t="s">
        <v>310</v>
      </c>
      <c r="E7" s="63">
        <v>0.2</v>
      </c>
      <c r="F7" s="101">
        <v>1000</v>
      </c>
      <c r="G7" s="102">
        <v>1000</v>
      </c>
      <c r="H7" s="349"/>
      <c r="I7" s="383"/>
      <c r="J7" s="384"/>
      <c r="L7" s="368"/>
      <c r="M7" s="6" t="s">
        <v>310</v>
      </c>
      <c r="N7" s="136">
        <v>1000</v>
      </c>
      <c r="O7" s="137">
        <v>0</v>
      </c>
      <c r="P7" s="371"/>
    </row>
    <row r="8" spans="1:21" ht="16.5">
      <c r="A8" s="341"/>
      <c r="B8" s="341"/>
      <c r="C8" s="341"/>
      <c r="D8" s="100" t="s">
        <v>311</v>
      </c>
      <c r="E8" s="63">
        <v>0.23</v>
      </c>
      <c r="F8" s="101">
        <v>2100</v>
      </c>
      <c r="G8" s="102">
        <v>2100</v>
      </c>
      <c r="H8" s="349"/>
      <c r="I8" s="383"/>
      <c r="J8" s="384"/>
      <c r="L8" s="368"/>
      <c r="M8" s="6" t="s">
        <v>311</v>
      </c>
      <c r="N8" s="136">
        <v>2100</v>
      </c>
      <c r="O8" s="137">
        <v>0</v>
      </c>
      <c r="P8" s="371"/>
    </row>
    <row r="9" spans="1:21" ht="16.5">
      <c r="A9" s="341"/>
      <c r="B9" s="341"/>
      <c r="C9" s="341"/>
      <c r="D9" s="100" t="s">
        <v>312</v>
      </c>
      <c r="E9" s="63">
        <v>0.25</v>
      </c>
      <c r="F9" s="101">
        <v>3900</v>
      </c>
      <c r="G9" s="102">
        <v>3900</v>
      </c>
      <c r="H9" s="349"/>
      <c r="I9" s="383"/>
      <c r="J9" s="384"/>
      <c r="L9" s="368"/>
      <c r="M9" s="6" t="s">
        <v>312</v>
      </c>
      <c r="N9" s="136">
        <v>3900</v>
      </c>
      <c r="O9" s="137">
        <v>0</v>
      </c>
      <c r="P9" s="372"/>
    </row>
    <row r="10" spans="1:21" ht="16.5">
      <c r="A10" s="341"/>
      <c r="B10" s="341"/>
      <c r="C10" s="341"/>
      <c r="D10" s="100" t="s">
        <v>313</v>
      </c>
      <c r="E10" s="63">
        <v>0.25</v>
      </c>
      <c r="F10" s="101">
        <v>7700</v>
      </c>
      <c r="G10" s="102">
        <v>7700</v>
      </c>
      <c r="H10" s="349"/>
      <c r="I10" s="383"/>
      <c r="J10" s="384"/>
      <c r="L10" s="368"/>
      <c r="M10" s="6" t="s">
        <v>313</v>
      </c>
      <c r="N10" s="136">
        <v>7700</v>
      </c>
      <c r="O10" s="137">
        <v>0</v>
      </c>
      <c r="P10" s="370" t="s">
        <v>214</v>
      </c>
    </row>
    <row r="11" spans="1:21" ht="16.5">
      <c r="A11" s="341"/>
      <c r="B11" s="341"/>
      <c r="C11" s="341"/>
      <c r="D11" s="100" t="s">
        <v>314</v>
      </c>
      <c r="E11" s="63">
        <v>0.25</v>
      </c>
      <c r="F11" s="101">
        <v>19200</v>
      </c>
      <c r="G11" s="102">
        <v>19200</v>
      </c>
      <c r="H11" s="349"/>
      <c r="I11" s="383"/>
      <c r="J11" s="384"/>
      <c r="L11" s="368"/>
      <c r="M11" s="6" t="s">
        <v>314</v>
      </c>
      <c r="N11" s="136">
        <v>19200</v>
      </c>
      <c r="O11" s="137">
        <v>0</v>
      </c>
      <c r="P11" s="371"/>
    </row>
    <row r="12" spans="1:21" ht="16.5">
      <c r="A12" s="342"/>
      <c r="B12" s="342"/>
      <c r="C12" s="342"/>
      <c r="D12" s="103" t="s">
        <v>315</v>
      </c>
      <c r="E12" s="67">
        <v>0.3</v>
      </c>
      <c r="F12" s="104">
        <v>32000</v>
      </c>
      <c r="G12" s="105">
        <v>32000</v>
      </c>
      <c r="H12" s="349"/>
      <c r="I12" s="383"/>
      <c r="J12" s="384"/>
      <c r="L12" s="369"/>
      <c r="M12" s="9" t="s">
        <v>315</v>
      </c>
      <c r="N12" s="138">
        <v>32000</v>
      </c>
      <c r="O12" s="139">
        <v>0</v>
      </c>
      <c r="P12" s="373"/>
    </row>
    <row r="13" spans="1:21">
      <c r="A13" s="385" t="s">
        <v>316</v>
      </c>
      <c r="B13" s="386"/>
      <c r="C13" s="386"/>
      <c r="D13" s="386"/>
      <c r="E13" s="386"/>
      <c r="F13" s="386"/>
      <c r="G13" s="386"/>
      <c r="H13" s="386"/>
      <c r="I13" s="386"/>
      <c r="J13" s="387"/>
      <c r="L13" s="391" t="s">
        <v>317</v>
      </c>
      <c r="M13" s="392"/>
      <c r="N13" s="392"/>
      <c r="O13" s="392"/>
      <c r="P13" s="393"/>
      <c r="Q13"/>
      <c r="R13"/>
      <c r="S13"/>
      <c r="T13"/>
      <c r="U13"/>
    </row>
    <row r="14" spans="1:21" ht="93" customHeight="1">
      <c r="A14" s="388"/>
      <c r="B14" s="389"/>
      <c r="C14" s="389"/>
      <c r="D14" s="389"/>
      <c r="E14" s="389"/>
      <c r="F14" s="389"/>
      <c r="G14" s="389"/>
      <c r="H14" s="389"/>
      <c r="I14" s="389"/>
      <c r="J14" s="390"/>
      <c r="L14" s="394"/>
      <c r="M14" s="395"/>
      <c r="N14" s="395"/>
      <c r="O14" s="395"/>
      <c r="P14" s="396"/>
      <c r="Q14"/>
      <c r="R14"/>
      <c r="S14"/>
      <c r="T14"/>
      <c r="U14"/>
    </row>
    <row r="23" spans="1:16" ht="14.75" customHeight="1">
      <c r="A23" s="343" t="s">
        <v>294</v>
      </c>
      <c r="B23" s="351" t="s">
        <v>295</v>
      </c>
      <c r="C23" s="337" t="s">
        <v>296</v>
      </c>
      <c r="D23" s="337"/>
      <c r="E23" s="337"/>
      <c r="F23" s="338" t="s">
        <v>75</v>
      </c>
      <c r="G23" s="338" t="s">
        <v>318</v>
      </c>
      <c r="H23" s="338"/>
      <c r="I23" s="338"/>
      <c r="J23" s="338"/>
      <c r="K23" s="338"/>
      <c r="L23" s="338" t="s">
        <v>319</v>
      </c>
      <c r="M23" s="337" t="s">
        <v>5</v>
      </c>
      <c r="N23" s="337"/>
      <c r="O23" s="337"/>
      <c r="P23" s="397"/>
    </row>
    <row r="24" spans="1:16" ht="14.5">
      <c r="A24" s="344"/>
      <c r="B24" s="352"/>
      <c r="C24" s="60" t="s">
        <v>300</v>
      </c>
      <c r="D24" s="60" t="s">
        <v>301</v>
      </c>
      <c r="E24" s="60" t="s">
        <v>320</v>
      </c>
      <c r="F24" s="339"/>
      <c r="G24" s="61" t="s">
        <v>321</v>
      </c>
      <c r="H24" s="61" t="s">
        <v>322</v>
      </c>
      <c r="I24" s="61" t="s">
        <v>323</v>
      </c>
      <c r="J24" s="61" t="s">
        <v>324</v>
      </c>
      <c r="K24" s="61" t="s">
        <v>325</v>
      </c>
      <c r="L24" s="339"/>
      <c r="M24" s="398"/>
      <c r="N24" s="398"/>
      <c r="O24" s="398"/>
      <c r="P24" s="399"/>
    </row>
    <row r="25" spans="1:16" ht="14.75" customHeight="1">
      <c r="A25" s="345" t="s">
        <v>326</v>
      </c>
      <c r="B25" s="353" t="s">
        <v>305</v>
      </c>
      <c r="C25" s="353" t="s">
        <v>327</v>
      </c>
      <c r="D25" s="353" t="s">
        <v>314</v>
      </c>
      <c r="E25" s="62" t="s">
        <v>328</v>
      </c>
      <c r="F25" s="63">
        <v>0.3</v>
      </c>
      <c r="G25" s="64">
        <v>68000</v>
      </c>
      <c r="H25" s="64">
        <v>45400</v>
      </c>
      <c r="I25" s="64">
        <v>37800</v>
      </c>
      <c r="J25" s="64">
        <v>29500</v>
      </c>
      <c r="K25" s="64">
        <v>26200</v>
      </c>
      <c r="L25" s="64">
        <v>26200</v>
      </c>
      <c r="M25" s="400"/>
      <c r="N25" s="400"/>
      <c r="O25" s="400"/>
      <c r="P25" s="401"/>
    </row>
    <row r="26" spans="1:16" ht="14.5">
      <c r="A26" s="345"/>
      <c r="B26" s="353"/>
      <c r="C26" s="353"/>
      <c r="D26" s="353"/>
      <c r="E26" s="62" t="s">
        <v>329</v>
      </c>
      <c r="F26" s="63">
        <v>0.3</v>
      </c>
      <c r="G26" s="64">
        <v>108200</v>
      </c>
      <c r="H26" s="64">
        <v>72100</v>
      </c>
      <c r="I26" s="64">
        <v>60100</v>
      </c>
      <c r="J26" s="64">
        <v>46800</v>
      </c>
      <c r="K26" s="64">
        <v>41600</v>
      </c>
      <c r="L26" s="64">
        <v>41600</v>
      </c>
      <c r="M26" s="400"/>
      <c r="N26" s="400"/>
      <c r="O26" s="400"/>
      <c r="P26" s="401"/>
    </row>
    <row r="27" spans="1:16" ht="14.5">
      <c r="A27" s="345"/>
      <c r="B27" s="353"/>
      <c r="C27" s="353"/>
      <c r="D27" s="353" t="s">
        <v>315</v>
      </c>
      <c r="E27" s="62" t="s">
        <v>328</v>
      </c>
      <c r="F27" s="63">
        <v>0.3</v>
      </c>
      <c r="G27" s="64">
        <v>77600</v>
      </c>
      <c r="H27" s="64">
        <v>51700</v>
      </c>
      <c r="I27" s="64">
        <v>43100</v>
      </c>
      <c r="J27" s="64">
        <v>33500</v>
      </c>
      <c r="K27" s="64">
        <v>29800</v>
      </c>
      <c r="L27" s="64">
        <v>29800</v>
      </c>
      <c r="M27" s="400"/>
      <c r="N27" s="400"/>
      <c r="O27" s="400"/>
      <c r="P27" s="401"/>
    </row>
    <row r="28" spans="1:16" ht="14.5">
      <c r="A28" s="345"/>
      <c r="B28" s="353"/>
      <c r="C28" s="353"/>
      <c r="D28" s="353"/>
      <c r="E28" s="62" t="s">
        <v>329</v>
      </c>
      <c r="F28" s="63">
        <v>0.3</v>
      </c>
      <c r="G28" s="64">
        <v>117700</v>
      </c>
      <c r="H28" s="64">
        <v>78500</v>
      </c>
      <c r="I28" s="64">
        <v>65400</v>
      </c>
      <c r="J28" s="64">
        <v>51000</v>
      </c>
      <c r="K28" s="64">
        <v>45300</v>
      </c>
      <c r="L28" s="64">
        <v>45300</v>
      </c>
      <c r="M28" s="400"/>
      <c r="N28" s="400"/>
      <c r="O28" s="400"/>
      <c r="P28" s="401"/>
    </row>
    <row r="29" spans="1:16" ht="14.5">
      <c r="A29" s="345"/>
      <c r="B29" s="353"/>
      <c r="C29" s="353"/>
      <c r="D29" s="353" t="s">
        <v>330</v>
      </c>
      <c r="E29" s="62" t="s">
        <v>328</v>
      </c>
      <c r="F29" s="63">
        <v>0.3</v>
      </c>
      <c r="G29" s="64">
        <v>98600</v>
      </c>
      <c r="H29" s="64">
        <v>65800</v>
      </c>
      <c r="I29" s="64">
        <v>54800</v>
      </c>
      <c r="J29" s="64">
        <v>42600</v>
      </c>
      <c r="K29" s="64">
        <v>37900</v>
      </c>
      <c r="L29" s="64">
        <v>37900</v>
      </c>
      <c r="M29" s="400"/>
      <c r="N29" s="400"/>
      <c r="O29" s="400"/>
      <c r="P29" s="401"/>
    </row>
    <row r="30" spans="1:16" ht="14.75" customHeight="1">
      <c r="A30" s="345"/>
      <c r="B30" s="353"/>
      <c r="C30" s="353"/>
      <c r="D30" s="353"/>
      <c r="E30" s="65" t="s">
        <v>329</v>
      </c>
      <c r="F30" s="63">
        <v>0.3</v>
      </c>
      <c r="G30" s="64">
        <v>136100</v>
      </c>
      <c r="H30" s="64">
        <v>90700</v>
      </c>
      <c r="I30" s="64">
        <v>75600</v>
      </c>
      <c r="J30" s="64">
        <v>59000</v>
      </c>
      <c r="K30" s="64">
        <v>52400</v>
      </c>
      <c r="L30" s="64">
        <v>52400</v>
      </c>
      <c r="M30" s="400"/>
      <c r="N30" s="400"/>
      <c r="O30" s="400"/>
      <c r="P30" s="401"/>
    </row>
    <row r="31" spans="1:16" ht="16.5">
      <c r="A31" s="345"/>
      <c r="B31" s="353"/>
      <c r="C31" s="353"/>
      <c r="D31" s="353" t="s">
        <v>331</v>
      </c>
      <c r="E31" s="65" t="s">
        <v>328</v>
      </c>
      <c r="F31" s="63">
        <v>0.35</v>
      </c>
      <c r="G31" s="64">
        <v>196200</v>
      </c>
      <c r="H31" s="64">
        <v>130800</v>
      </c>
      <c r="I31" s="64">
        <v>109000</v>
      </c>
      <c r="J31" s="64">
        <v>84900</v>
      </c>
      <c r="K31" s="64">
        <v>75500</v>
      </c>
      <c r="L31" s="64">
        <v>75500</v>
      </c>
      <c r="M31" s="400"/>
      <c r="N31" s="400"/>
      <c r="O31" s="400"/>
      <c r="P31" s="401"/>
    </row>
    <row r="32" spans="1:16" ht="16.5">
      <c r="A32" s="345"/>
      <c r="B32" s="353"/>
      <c r="C32" s="353"/>
      <c r="D32" s="353"/>
      <c r="E32" s="65" t="s">
        <v>329</v>
      </c>
      <c r="F32" s="63">
        <v>0.35</v>
      </c>
      <c r="G32" s="64">
        <v>214200</v>
      </c>
      <c r="H32" s="64">
        <v>142800</v>
      </c>
      <c r="I32" s="64">
        <v>119000</v>
      </c>
      <c r="J32" s="64">
        <v>92700</v>
      </c>
      <c r="K32" s="64">
        <v>82400</v>
      </c>
      <c r="L32" s="64">
        <v>82400</v>
      </c>
      <c r="M32" s="400"/>
      <c r="N32" s="400"/>
      <c r="O32" s="400"/>
      <c r="P32" s="401"/>
    </row>
    <row r="33" spans="1:16" ht="16.5">
      <c r="A33" s="345"/>
      <c r="B33" s="353"/>
      <c r="C33" s="353"/>
      <c r="D33" s="353" t="s">
        <v>332</v>
      </c>
      <c r="E33" s="65" t="s">
        <v>328</v>
      </c>
      <c r="F33" s="63">
        <v>0.35</v>
      </c>
      <c r="G33" s="64">
        <v>340200</v>
      </c>
      <c r="H33" s="64">
        <v>226800</v>
      </c>
      <c r="I33" s="64">
        <v>189000</v>
      </c>
      <c r="J33" s="64">
        <v>147200</v>
      </c>
      <c r="K33" s="64">
        <v>130800</v>
      </c>
      <c r="L33" s="64">
        <v>130800</v>
      </c>
      <c r="M33" s="400"/>
      <c r="N33" s="400"/>
      <c r="O33" s="400"/>
      <c r="P33" s="401"/>
    </row>
    <row r="34" spans="1:16" ht="16.5">
      <c r="A34" s="345"/>
      <c r="B34" s="353"/>
      <c r="C34" s="353"/>
      <c r="D34" s="353"/>
      <c r="E34" s="65" t="s">
        <v>329</v>
      </c>
      <c r="F34" s="63">
        <v>0.35</v>
      </c>
      <c r="G34" s="64">
        <v>380700</v>
      </c>
      <c r="H34" s="64">
        <v>253800</v>
      </c>
      <c r="I34" s="64">
        <v>211500</v>
      </c>
      <c r="J34" s="64">
        <v>164700</v>
      </c>
      <c r="K34" s="64">
        <v>146400</v>
      </c>
      <c r="L34" s="64">
        <v>146400</v>
      </c>
      <c r="M34" s="400"/>
      <c r="N34" s="400"/>
      <c r="O34" s="400"/>
      <c r="P34" s="401"/>
    </row>
    <row r="35" spans="1:16" ht="16.5">
      <c r="A35" s="345"/>
      <c r="B35" s="353"/>
      <c r="C35" s="358" t="s">
        <v>333</v>
      </c>
      <c r="D35" s="353" t="s">
        <v>314</v>
      </c>
      <c r="E35" s="65" t="s">
        <v>328</v>
      </c>
      <c r="F35" s="63">
        <v>0.3</v>
      </c>
      <c r="G35" s="64">
        <v>74900</v>
      </c>
      <c r="H35" s="64">
        <v>49900</v>
      </c>
      <c r="I35" s="64">
        <v>41600</v>
      </c>
      <c r="J35" s="64">
        <v>33800</v>
      </c>
      <c r="K35" s="64">
        <v>30000</v>
      </c>
      <c r="L35" s="64">
        <v>30000</v>
      </c>
      <c r="M35" s="400"/>
      <c r="N35" s="400"/>
      <c r="O35" s="400"/>
      <c r="P35" s="401"/>
    </row>
    <row r="36" spans="1:16" ht="16.5">
      <c r="A36" s="345"/>
      <c r="B36" s="353"/>
      <c r="C36" s="358"/>
      <c r="D36" s="353"/>
      <c r="E36" s="65" t="s">
        <v>329</v>
      </c>
      <c r="F36" s="63">
        <v>0.3</v>
      </c>
      <c r="G36" s="64">
        <v>115000</v>
      </c>
      <c r="H36" s="64">
        <v>76700</v>
      </c>
      <c r="I36" s="64">
        <v>63900</v>
      </c>
      <c r="J36" s="64">
        <v>51100</v>
      </c>
      <c r="K36" s="64">
        <v>45400</v>
      </c>
      <c r="L36" s="64">
        <v>45400</v>
      </c>
      <c r="M36" s="400"/>
      <c r="N36" s="400"/>
      <c r="O36" s="400"/>
      <c r="P36" s="401"/>
    </row>
    <row r="37" spans="1:16" ht="16.5">
      <c r="A37" s="345"/>
      <c r="B37" s="353"/>
      <c r="C37" s="358"/>
      <c r="D37" s="353" t="s">
        <v>315</v>
      </c>
      <c r="E37" s="65" t="s">
        <v>328</v>
      </c>
      <c r="F37" s="63">
        <v>0.3</v>
      </c>
      <c r="G37" s="64">
        <v>84400</v>
      </c>
      <c r="H37" s="64">
        <v>56300</v>
      </c>
      <c r="I37" s="64">
        <v>46900</v>
      </c>
      <c r="J37" s="64">
        <v>37900</v>
      </c>
      <c r="K37" s="64">
        <v>33700</v>
      </c>
      <c r="L37" s="64">
        <v>33700</v>
      </c>
      <c r="M37" s="400"/>
      <c r="N37" s="400"/>
      <c r="O37" s="400"/>
      <c r="P37" s="401"/>
    </row>
    <row r="38" spans="1:16" ht="16.5">
      <c r="A38" s="345"/>
      <c r="B38" s="353"/>
      <c r="C38" s="358"/>
      <c r="D38" s="353"/>
      <c r="E38" s="65" t="s">
        <v>329</v>
      </c>
      <c r="F38" s="63">
        <v>0.3</v>
      </c>
      <c r="G38" s="64">
        <v>124600</v>
      </c>
      <c r="H38" s="64">
        <v>83000</v>
      </c>
      <c r="I38" s="64">
        <v>69200</v>
      </c>
      <c r="J38" s="64">
        <v>55200</v>
      </c>
      <c r="K38" s="64">
        <v>49100</v>
      </c>
      <c r="L38" s="64">
        <v>49100</v>
      </c>
      <c r="M38" s="400"/>
      <c r="N38" s="400"/>
      <c r="O38" s="400"/>
      <c r="P38" s="401"/>
    </row>
    <row r="39" spans="1:16" ht="16.5">
      <c r="A39" s="345"/>
      <c r="B39" s="353"/>
      <c r="C39" s="358"/>
      <c r="D39" s="353" t="s">
        <v>330</v>
      </c>
      <c r="E39" s="65" t="s">
        <v>328</v>
      </c>
      <c r="F39" s="63">
        <v>0.3</v>
      </c>
      <c r="G39" s="64">
        <v>105500</v>
      </c>
      <c r="H39" s="64">
        <v>70300</v>
      </c>
      <c r="I39" s="64">
        <v>58600</v>
      </c>
      <c r="J39" s="64">
        <v>46900</v>
      </c>
      <c r="K39" s="64">
        <v>41700</v>
      </c>
      <c r="L39" s="64">
        <v>41700</v>
      </c>
      <c r="M39" s="400"/>
      <c r="N39" s="400"/>
      <c r="O39" s="400"/>
      <c r="P39" s="401"/>
    </row>
    <row r="40" spans="1:16" ht="16.5">
      <c r="A40" s="345"/>
      <c r="B40" s="353"/>
      <c r="C40" s="358"/>
      <c r="D40" s="353"/>
      <c r="E40" s="65" t="s">
        <v>329</v>
      </c>
      <c r="F40" s="63">
        <v>0.3</v>
      </c>
      <c r="G40" s="64">
        <v>143100</v>
      </c>
      <c r="H40" s="64">
        <v>95400</v>
      </c>
      <c r="I40" s="64">
        <v>79500</v>
      </c>
      <c r="J40" s="64">
        <v>63200</v>
      </c>
      <c r="K40" s="64">
        <v>56200</v>
      </c>
      <c r="L40" s="64">
        <v>56200</v>
      </c>
      <c r="M40" s="400"/>
      <c r="N40" s="400"/>
      <c r="O40" s="400"/>
      <c r="P40" s="401"/>
    </row>
    <row r="41" spans="1:16" ht="16.5">
      <c r="A41" s="345"/>
      <c r="B41" s="353"/>
      <c r="C41" s="358"/>
      <c r="D41" s="353" t="s">
        <v>331</v>
      </c>
      <c r="E41" s="65" t="s">
        <v>328</v>
      </c>
      <c r="F41" s="63">
        <v>0.35</v>
      </c>
      <c r="G41" s="64">
        <v>208100</v>
      </c>
      <c r="H41" s="64">
        <v>138700</v>
      </c>
      <c r="I41" s="64">
        <v>115600</v>
      </c>
      <c r="J41" s="64">
        <v>92400</v>
      </c>
      <c r="K41" s="64">
        <v>82100</v>
      </c>
      <c r="L41" s="64">
        <v>82100</v>
      </c>
      <c r="M41" s="400"/>
      <c r="N41" s="400"/>
      <c r="O41" s="400"/>
      <c r="P41" s="401"/>
    </row>
    <row r="42" spans="1:16" ht="16.5">
      <c r="A42" s="345"/>
      <c r="B42" s="353"/>
      <c r="C42" s="358"/>
      <c r="D42" s="353"/>
      <c r="E42" s="65" t="s">
        <v>329</v>
      </c>
      <c r="F42" s="63">
        <v>0.35</v>
      </c>
      <c r="G42" s="64">
        <v>226100</v>
      </c>
      <c r="H42" s="64">
        <v>150700</v>
      </c>
      <c r="I42" s="64">
        <v>125600</v>
      </c>
      <c r="J42" s="64">
        <v>100100</v>
      </c>
      <c r="K42" s="64">
        <v>89000</v>
      </c>
      <c r="L42" s="64">
        <v>89000</v>
      </c>
      <c r="M42" s="400"/>
      <c r="N42" s="400"/>
      <c r="O42" s="400"/>
      <c r="P42" s="401"/>
    </row>
    <row r="43" spans="1:16" ht="16.5">
      <c r="A43" s="345"/>
      <c r="B43" s="353"/>
      <c r="C43" s="358"/>
      <c r="D43" s="353" t="s">
        <v>332</v>
      </c>
      <c r="E43" s="65" t="s">
        <v>328</v>
      </c>
      <c r="F43" s="63">
        <v>0.35</v>
      </c>
      <c r="G43" s="64">
        <v>351900</v>
      </c>
      <c r="H43" s="64">
        <v>234600</v>
      </c>
      <c r="I43" s="64">
        <v>195500</v>
      </c>
      <c r="J43" s="64">
        <v>154600</v>
      </c>
      <c r="K43" s="64">
        <v>137400</v>
      </c>
      <c r="L43" s="64">
        <v>137400</v>
      </c>
      <c r="M43" s="400"/>
      <c r="N43" s="400"/>
      <c r="O43" s="400"/>
      <c r="P43" s="401"/>
    </row>
    <row r="44" spans="1:16" ht="16.5">
      <c r="A44" s="346"/>
      <c r="B44" s="354"/>
      <c r="C44" s="359"/>
      <c r="D44" s="354"/>
      <c r="E44" s="66" t="s">
        <v>329</v>
      </c>
      <c r="F44" s="67">
        <v>0.35</v>
      </c>
      <c r="G44" s="68">
        <v>392400</v>
      </c>
      <c r="H44" s="68">
        <v>261600</v>
      </c>
      <c r="I44" s="68">
        <v>218000</v>
      </c>
      <c r="J44" s="68">
        <v>172100</v>
      </c>
      <c r="K44" s="68">
        <v>153000</v>
      </c>
      <c r="L44" s="68">
        <v>153000</v>
      </c>
      <c r="M44" s="402"/>
      <c r="N44" s="402"/>
      <c r="O44" s="402"/>
      <c r="P44" s="403"/>
    </row>
    <row r="45" spans="1:16" ht="14.5" customHeight="1">
      <c r="A45" s="404" t="s">
        <v>334</v>
      </c>
      <c r="B45" s="405"/>
      <c r="C45" s="405"/>
      <c r="D45" s="405"/>
      <c r="E45" s="405"/>
      <c r="F45" s="405"/>
      <c r="G45" s="405"/>
      <c r="H45" s="405"/>
      <c r="I45" s="405"/>
      <c r="J45" s="405"/>
      <c r="K45" s="405"/>
      <c r="L45" s="405"/>
      <c r="M45" s="405"/>
      <c r="N45" s="405"/>
      <c r="O45" s="405"/>
      <c r="P45" s="406"/>
    </row>
    <row r="46" spans="1:16" ht="60" customHeight="1">
      <c r="A46" s="407"/>
      <c r="B46" s="408"/>
      <c r="C46" s="408"/>
      <c r="D46" s="408"/>
      <c r="E46" s="408"/>
      <c r="F46" s="408"/>
      <c r="G46" s="408"/>
      <c r="H46" s="408"/>
      <c r="I46" s="408"/>
      <c r="J46" s="408"/>
      <c r="K46" s="408"/>
      <c r="L46" s="408"/>
      <c r="M46" s="408"/>
      <c r="N46" s="408"/>
      <c r="O46" s="408"/>
      <c r="P46" s="409"/>
    </row>
    <row r="53" spans="1:18" ht="14.5">
      <c r="A53" s="343" t="s">
        <v>294</v>
      </c>
      <c r="B53" s="351" t="s">
        <v>295</v>
      </c>
      <c r="C53" s="337" t="s">
        <v>296</v>
      </c>
      <c r="D53" s="337"/>
      <c r="E53" s="337"/>
      <c r="F53" s="338" t="s">
        <v>75</v>
      </c>
      <c r="G53" s="338" t="s">
        <v>318</v>
      </c>
      <c r="H53" s="338"/>
      <c r="I53" s="338"/>
      <c r="J53" s="338"/>
      <c r="K53" s="338"/>
      <c r="L53" s="338" t="s">
        <v>319</v>
      </c>
      <c r="M53" s="337" t="s">
        <v>5</v>
      </c>
      <c r="N53" s="337"/>
      <c r="O53" s="337"/>
      <c r="P53" s="397"/>
    </row>
    <row r="54" spans="1:18" ht="14.5">
      <c r="A54" s="344"/>
      <c r="B54" s="352"/>
      <c r="C54" s="60" t="s">
        <v>300</v>
      </c>
      <c r="D54" s="60" t="s">
        <v>301</v>
      </c>
      <c r="E54" s="60" t="s">
        <v>320</v>
      </c>
      <c r="F54" s="339"/>
      <c r="G54" s="61" t="s">
        <v>321</v>
      </c>
      <c r="H54" s="61" t="s">
        <v>322</v>
      </c>
      <c r="I54" s="61" t="s">
        <v>323</v>
      </c>
      <c r="J54" s="61" t="s">
        <v>324</v>
      </c>
      <c r="K54" s="61" t="s">
        <v>325</v>
      </c>
      <c r="L54" s="339"/>
      <c r="M54" s="398"/>
      <c r="N54" s="398"/>
      <c r="O54" s="398"/>
      <c r="P54" s="399"/>
      <c r="Q54"/>
      <c r="R54"/>
    </row>
    <row r="55" spans="1:18" ht="14.5">
      <c r="A55" s="345" t="s">
        <v>335</v>
      </c>
      <c r="B55" s="353" t="s">
        <v>305</v>
      </c>
      <c r="C55" s="353" t="s">
        <v>336</v>
      </c>
      <c r="D55" s="353" t="s">
        <v>314</v>
      </c>
      <c r="E55" s="62" t="s">
        <v>337</v>
      </c>
      <c r="F55" s="63">
        <v>0.3</v>
      </c>
      <c r="G55" s="64">
        <v>204000</v>
      </c>
      <c r="H55" s="64">
        <v>135500</v>
      </c>
      <c r="I55" s="64">
        <v>91400</v>
      </c>
      <c r="J55" s="64">
        <v>75900</v>
      </c>
      <c r="K55" s="64">
        <v>65600</v>
      </c>
      <c r="L55" s="64">
        <v>65600</v>
      </c>
      <c r="M55" s="400"/>
      <c r="N55" s="400"/>
      <c r="O55" s="400"/>
      <c r="P55" s="401"/>
      <c r="Q55"/>
      <c r="R55"/>
    </row>
    <row r="56" spans="1:18" ht="14.5">
      <c r="A56" s="345"/>
      <c r="B56" s="353"/>
      <c r="C56" s="353"/>
      <c r="D56" s="353"/>
      <c r="E56" s="62" t="s">
        <v>338</v>
      </c>
      <c r="F56" s="63">
        <v>0.3</v>
      </c>
      <c r="G56" s="64">
        <v>352700</v>
      </c>
      <c r="H56" s="64">
        <v>234400</v>
      </c>
      <c r="I56" s="64">
        <v>158100</v>
      </c>
      <c r="J56" s="64">
        <v>132300</v>
      </c>
      <c r="K56" s="64">
        <v>114300</v>
      </c>
      <c r="L56" s="64">
        <v>114300</v>
      </c>
      <c r="M56" s="400"/>
      <c r="N56" s="400"/>
      <c r="O56" s="400"/>
      <c r="P56" s="401"/>
      <c r="Q56"/>
      <c r="R56"/>
    </row>
    <row r="57" spans="1:18" ht="14.5">
      <c r="A57" s="345"/>
      <c r="B57" s="353"/>
      <c r="C57" s="353"/>
      <c r="D57" s="353" t="s">
        <v>315</v>
      </c>
      <c r="E57" s="62" t="s">
        <v>337</v>
      </c>
      <c r="F57" s="63">
        <v>0.3</v>
      </c>
      <c r="G57" s="64">
        <v>204100</v>
      </c>
      <c r="H57" s="64">
        <v>135800</v>
      </c>
      <c r="I57" s="64">
        <v>91600</v>
      </c>
      <c r="J57" s="64">
        <v>77200</v>
      </c>
      <c r="K57" s="64">
        <v>66600</v>
      </c>
      <c r="L57" s="64">
        <v>66600</v>
      </c>
      <c r="M57" s="400"/>
      <c r="N57" s="400"/>
      <c r="O57" s="400"/>
      <c r="P57" s="401"/>
      <c r="Q57"/>
      <c r="R57"/>
    </row>
    <row r="58" spans="1:18" ht="14.5">
      <c r="A58" s="345"/>
      <c r="B58" s="353"/>
      <c r="C58" s="353"/>
      <c r="D58" s="353"/>
      <c r="E58" s="62" t="s">
        <v>338</v>
      </c>
      <c r="F58" s="63">
        <v>0.3</v>
      </c>
      <c r="G58" s="64">
        <v>360400</v>
      </c>
      <c r="H58" s="64">
        <v>239100</v>
      </c>
      <c r="I58" s="64">
        <v>161900</v>
      </c>
      <c r="J58" s="64">
        <v>137500</v>
      </c>
      <c r="K58" s="64">
        <v>115100</v>
      </c>
      <c r="L58" s="64">
        <v>115100</v>
      </c>
      <c r="M58" s="400"/>
      <c r="N58" s="400"/>
      <c r="O58" s="400"/>
      <c r="P58" s="401"/>
      <c r="Q58"/>
      <c r="R58"/>
    </row>
    <row r="59" spans="1:18" ht="14.5">
      <c r="A59" s="345"/>
      <c r="B59" s="353"/>
      <c r="C59" s="353"/>
      <c r="D59" s="353" t="s">
        <v>330</v>
      </c>
      <c r="E59" s="62" t="s">
        <v>337</v>
      </c>
      <c r="F59" s="63">
        <v>0.3</v>
      </c>
      <c r="G59" s="64">
        <v>255700</v>
      </c>
      <c r="H59" s="64">
        <v>169500</v>
      </c>
      <c r="I59" s="64">
        <v>115000</v>
      </c>
      <c r="J59" s="64">
        <v>98400</v>
      </c>
      <c r="K59" s="64">
        <v>81000</v>
      </c>
      <c r="L59" s="64">
        <v>81000</v>
      </c>
      <c r="M59" s="400"/>
      <c r="N59" s="400"/>
      <c r="O59" s="400"/>
      <c r="P59" s="401"/>
      <c r="Q59" s="87"/>
    </row>
    <row r="60" spans="1:18" ht="16.5">
      <c r="A60" s="345"/>
      <c r="B60" s="353"/>
      <c r="C60" s="353"/>
      <c r="D60" s="353"/>
      <c r="E60" s="65" t="s">
        <v>338</v>
      </c>
      <c r="F60" s="63">
        <v>0.3</v>
      </c>
      <c r="G60" s="64">
        <v>409200</v>
      </c>
      <c r="H60" s="64">
        <v>271000</v>
      </c>
      <c r="I60" s="64">
        <v>184100</v>
      </c>
      <c r="J60" s="64">
        <v>158900</v>
      </c>
      <c r="K60" s="64">
        <v>128700</v>
      </c>
      <c r="L60" s="64">
        <v>128700</v>
      </c>
      <c r="M60" s="400"/>
      <c r="N60" s="400"/>
      <c r="O60" s="400"/>
      <c r="P60" s="401"/>
      <c r="Q60" s="87"/>
    </row>
    <row r="61" spans="1:18" ht="16.5">
      <c r="A61" s="345"/>
      <c r="B61" s="353"/>
      <c r="C61" s="353"/>
      <c r="D61" s="353" t="s">
        <v>331</v>
      </c>
      <c r="E61" s="65" t="s">
        <v>337</v>
      </c>
      <c r="F61" s="63">
        <v>0.35</v>
      </c>
      <c r="G61" s="64">
        <v>398600</v>
      </c>
      <c r="H61" s="64">
        <v>263700</v>
      </c>
      <c r="I61" s="64">
        <v>179500</v>
      </c>
      <c r="J61" s="64">
        <v>156100</v>
      </c>
      <c r="K61" s="64">
        <v>124500</v>
      </c>
      <c r="L61" s="64">
        <v>124500</v>
      </c>
      <c r="M61" s="400"/>
      <c r="N61" s="400"/>
      <c r="O61" s="400"/>
      <c r="P61" s="401"/>
      <c r="Q61" s="87"/>
    </row>
    <row r="62" spans="1:18" ht="16.5">
      <c r="A62" s="345"/>
      <c r="B62" s="353"/>
      <c r="C62" s="353"/>
      <c r="D62" s="353"/>
      <c r="E62" s="65" t="s">
        <v>338</v>
      </c>
      <c r="F62" s="63">
        <v>0.35</v>
      </c>
      <c r="G62" s="64">
        <v>561700</v>
      </c>
      <c r="H62" s="64">
        <v>371300</v>
      </c>
      <c r="I62" s="64">
        <v>253200</v>
      </c>
      <c r="J62" s="64">
        <v>222000</v>
      </c>
      <c r="K62" s="64">
        <v>174100</v>
      </c>
      <c r="L62" s="64">
        <v>174100</v>
      </c>
      <c r="M62" s="400"/>
      <c r="N62" s="400"/>
      <c r="O62" s="400"/>
      <c r="P62" s="401"/>
      <c r="Q62" s="87"/>
    </row>
    <row r="63" spans="1:18" ht="16.5">
      <c r="A63" s="345"/>
      <c r="B63" s="353"/>
      <c r="C63" s="353"/>
      <c r="D63" s="353" t="s">
        <v>332</v>
      </c>
      <c r="E63" s="65" t="s">
        <v>337</v>
      </c>
      <c r="F63" s="63">
        <v>0.35</v>
      </c>
      <c r="G63" s="64">
        <v>657000</v>
      </c>
      <c r="H63" s="64">
        <v>433900</v>
      </c>
      <c r="I63" s="64">
        <v>296500</v>
      </c>
      <c r="J63" s="64">
        <v>262000</v>
      </c>
      <c r="K63" s="64">
        <v>202200</v>
      </c>
      <c r="L63" s="64">
        <v>202200</v>
      </c>
      <c r="M63" s="400"/>
      <c r="N63" s="400"/>
      <c r="O63" s="400"/>
      <c r="P63" s="401"/>
      <c r="Q63" s="87"/>
    </row>
    <row r="64" spans="1:18" ht="16.5">
      <c r="A64" s="345"/>
      <c r="B64" s="353"/>
      <c r="C64" s="353"/>
      <c r="D64" s="353"/>
      <c r="E64" s="65" t="s">
        <v>338</v>
      </c>
      <c r="F64" s="63">
        <v>0.35</v>
      </c>
      <c r="G64" s="64">
        <v>884100</v>
      </c>
      <c r="H64" s="64">
        <v>583400</v>
      </c>
      <c r="I64" s="64">
        <v>399300</v>
      </c>
      <c r="J64" s="64">
        <v>355800</v>
      </c>
      <c r="K64" s="64">
        <v>270100</v>
      </c>
      <c r="L64" s="64">
        <v>270100</v>
      </c>
      <c r="M64" s="400"/>
      <c r="N64" s="400"/>
      <c r="O64" s="400"/>
      <c r="P64" s="401"/>
      <c r="Q64" s="87"/>
    </row>
    <row r="65" spans="1:17" ht="16.5">
      <c r="A65" s="345"/>
      <c r="B65" s="353"/>
      <c r="C65" s="358" t="s">
        <v>333</v>
      </c>
      <c r="D65" s="353" t="s">
        <v>314</v>
      </c>
      <c r="E65" s="65" t="s">
        <v>337</v>
      </c>
      <c r="F65" s="63">
        <v>0.3</v>
      </c>
      <c r="G65" s="64">
        <v>207900</v>
      </c>
      <c r="H65" s="64">
        <v>139700</v>
      </c>
      <c r="I65" s="64">
        <v>105000</v>
      </c>
      <c r="J65" s="64">
        <v>80600</v>
      </c>
      <c r="K65" s="64">
        <v>72900</v>
      </c>
      <c r="L65" s="64">
        <v>72900</v>
      </c>
      <c r="M65" s="400"/>
      <c r="N65" s="400"/>
      <c r="O65" s="400"/>
      <c r="P65" s="401"/>
      <c r="Q65" s="87"/>
    </row>
    <row r="66" spans="1:17" ht="16.5">
      <c r="A66" s="345"/>
      <c r="B66" s="353"/>
      <c r="C66" s="358"/>
      <c r="D66" s="353"/>
      <c r="E66" s="65" t="s">
        <v>338</v>
      </c>
      <c r="F66" s="63">
        <v>0.3</v>
      </c>
      <c r="G66" s="64">
        <v>356600</v>
      </c>
      <c r="H66" s="64">
        <v>237800</v>
      </c>
      <c r="I66" s="64">
        <v>177600</v>
      </c>
      <c r="J66" s="64">
        <v>135400</v>
      </c>
      <c r="K66" s="64">
        <v>121800</v>
      </c>
      <c r="L66" s="64">
        <v>121800</v>
      </c>
      <c r="M66" s="400"/>
      <c r="N66" s="400"/>
      <c r="O66" s="400"/>
      <c r="P66" s="401"/>
      <c r="Q66" s="87"/>
    </row>
    <row r="67" spans="1:17" ht="16.5">
      <c r="A67" s="345"/>
      <c r="B67" s="353"/>
      <c r="C67" s="358"/>
      <c r="D67" s="353" t="s">
        <v>315</v>
      </c>
      <c r="E67" s="65" t="s">
        <v>337</v>
      </c>
      <c r="F67" s="63">
        <v>0.3</v>
      </c>
      <c r="G67" s="64">
        <v>208000</v>
      </c>
      <c r="H67" s="64">
        <v>139700</v>
      </c>
      <c r="I67" s="64">
        <v>105100</v>
      </c>
      <c r="J67" s="64">
        <v>80600</v>
      </c>
      <c r="K67" s="64">
        <v>72900</v>
      </c>
      <c r="L67" s="64">
        <v>72900</v>
      </c>
      <c r="M67" s="400"/>
      <c r="N67" s="400"/>
      <c r="O67" s="400"/>
      <c r="P67" s="401"/>
      <c r="Q67" s="87"/>
    </row>
    <row r="68" spans="1:17" ht="16.5">
      <c r="A68" s="345"/>
      <c r="B68" s="353"/>
      <c r="C68" s="358"/>
      <c r="D68" s="353"/>
      <c r="E68" s="65" t="s">
        <v>338</v>
      </c>
      <c r="F68" s="63">
        <v>0.3</v>
      </c>
      <c r="G68" s="64">
        <v>364300</v>
      </c>
      <c r="H68" s="64">
        <v>242800</v>
      </c>
      <c r="I68" s="64">
        <v>181400</v>
      </c>
      <c r="J68" s="64">
        <v>138300</v>
      </c>
      <c r="K68" s="64">
        <v>124400</v>
      </c>
      <c r="L68" s="64">
        <v>124400</v>
      </c>
      <c r="M68" s="400"/>
      <c r="N68" s="400"/>
      <c r="O68" s="400"/>
      <c r="P68" s="401"/>
      <c r="Q68" s="87"/>
    </row>
    <row r="69" spans="1:17" ht="16.5">
      <c r="A69" s="345"/>
      <c r="B69" s="353"/>
      <c r="C69" s="358"/>
      <c r="D69" s="353" t="s">
        <v>330</v>
      </c>
      <c r="E69" s="65" t="s">
        <v>337</v>
      </c>
      <c r="F69" s="63">
        <v>0.3</v>
      </c>
      <c r="G69" s="64">
        <v>259600</v>
      </c>
      <c r="H69" s="64">
        <v>173800</v>
      </c>
      <c r="I69" s="64">
        <v>130300</v>
      </c>
      <c r="J69" s="64">
        <v>99600</v>
      </c>
      <c r="K69" s="64">
        <v>89900</v>
      </c>
      <c r="L69" s="64">
        <v>89900</v>
      </c>
      <c r="M69" s="400"/>
      <c r="N69" s="400"/>
      <c r="O69" s="400"/>
      <c r="P69" s="401"/>
      <c r="Q69" s="87"/>
    </row>
    <row r="70" spans="1:17" ht="16.5">
      <c r="A70" s="345"/>
      <c r="B70" s="353"/>
      <c r="C70" s="358"/>
      <c r="D70" s="353"/>
      <c r="E70" s="65" t="s">
        <v>338</v>
      </c>
      <c r="F70" s="63">
        <v>0.3</v>
      </c>
      <c r="G70" s="64">
        <v>413100</v>
      </c>
      <c r="H70" s="64">
        <v>275000</v>
      </c>
      <c r="I70" s="64">
        <v>205200</v>
      </c>
      <c r="J70" s="64">
        <v>163000</v>
      </c>
      <c r="K70" s="64">
        <v>140400</v>
      </c>
      <c r="L70" s="64">
        <v>140400</v>
      </c>
      <c r="M70" s="400"/>
      <c r="N70" s="400"/>
      <c r="O70" s="400"/>
      <c r="P70" s="401"/>
      <c r="Q70" s="87"/>
    </row>
    <row r="71" spans="1:17" ht="16.5">
      <c r="A71" s="345"/>
      <c r="B71" s="353"/>
      <c r="C71" s="358"/>
      <c r="D71" s="353" t="s">
        <v>331</v>
      </c>
      <c r="E71" s="65" t="s">
        <v>337</v>
      </c>
      <c r="F71" s="63">
        <v>0.35</v>
      </c>
      <c r="G71" s="64">
        <v>405300</v>
      </c>
      <c r="H71" s="64">
        <v>271600</v>
      </c>
      <c r="I71" s="64">
        <v>203900</v>
      </c>
      <c r="J71" s="64">
        <v>162900</v>
      </c>
      <c r="K71" s="64">
        <v>141100</v>
      </c>
      <c r="L71" s="64">
        <v>141100</v>
      </c>
      <c r="M71" s="400"/>
      <c r="N71" s="400"/>
      <c r="O71" s="400"/>
      <c r="P71" s="401"/>
      <c r="Q71" s="87"/>
    </row>
    <row r="72" spans="1:17" ht="16.5">
      <c r="A72" s="345"/>
      <c r="B72" s="353"/>
      <c r="C72" s="358"/>
      <c r="D72" s="353"/>
      <c r="E72" s="65" t="s">
        <v>338</v>
      </c>
      <c r="F72" s="63">
        <v>0.35</v>
      </c>
      <c r="G72" s="64">
        <v>568400</v>
      </c>
      <c r="H72" s="64">
        <v>379300</v>
      </c>
      <c r="I72" s="64">
        <v>283500</v>
      </c>
      <c r="J72" s="64">
        <v>225700</v>
      </c>
      <c r="K72" s="64">
        <v>194700</v>
      </c>
      <c r="L72" s="64">
        <v>194700</v>
      </c>
      <c r="M72" s="400"/>
      <c r="N72" s="400"/>
      <c r="O72" s="400"/>
      <c r="P72" s="401"/>
      <c r="Q72" s="87"/>
    </row>
    <row r="73" spans="1:17" ht="16.5">
      <c r="A73" s="345"/>
      <c r="B73" s="353"/>
      <c r="C73" s="358"/>
      <c r="D73" s="353" t="s">
        <v>332</v>
      </c>
      <c r="E73" s="65" t="s">
        <v>337</v>
      </c>
      <c r="F73" s="63">
        <v>0.35</v>
      </c>
      <c r="G73" s="64">
        <v>663800</v>
      </c>
      <c r="H73" s="64">
        <v>442200</v>
      </c>
      <c r="I73" s="64">
        <v>330100</v>
      </c>
      <c r="J73" s="64">
        <v>262400</v>
      </c>
      <c r="K73" s="64">
        <v>226100</v>
      </c>
      <c r="L73" s="64">
        <v>226100</v>
      </c>
      <c r="M73" s="400"/>
      <c r="N73" s="400"/>
      <c r="O73" s="400"/>
      <c r="P73" s="401"/>
      <c r="Q73" s="87"/>
    </row>
    <row r="74" spans="1:17" ht="16.5">
      <c r="A74" s="346"/>
      <c r="B74" s="354"/>
      <c r="C74" s="359"/>
      <c r="D74" s="354"/>
      <c r="E74" s="66" t="s">
        <v>338</v>
      </c>
      <c r="F74" s="67">
        <v>0.35</v>
      </c>
      <c r="G74" s="68">
        <v>890800</v>
      </c>
      <c r="H74" s="68">
        <v>592000</v>
      </c>
      <c r="I74" s="68">
        <v>441000</v>
      </c>
      <c r="J74" s="68">
        <v>356000</v>
      </c>
      <c r="K74" s="68">
        <v>300800</v>
      </c>
      <c r="L74" s="68">
        <v>300800</v>
      </c>
      <c r="M74" s="402"/>
      <c r="N74" s="402"/>
      <c r="O74" s="402"/>
      <c r="P74" s="403"/>
      <c r="Q74" s="87"/>
    </row>
    <row r="75" spans="1:17">
      <c r="A75" s="404" t="s">
        <v>339</v>
      </c>
      <c r="B75" s="405"/>
      <c r="C75" s="405"/>
      <c r="D75" s="405"/>
      <c r="E75" s="405"/>
      <c r="F75" s="405"/>
      <c r="G75" s="405"/>
      <c r="H75" s="405"/>
      <c r="I75" s="405"/>
      <c r="J75" s="405"/>
      <c r="K75" s="405"/>
      <c r="L75" s="405"/>
      <c r="M75" s="405"/>
      <c r="N75" s="405"/>
      <c r="O75" s="405"/>
      <c r="P75" s="406"/>
    </row>
    <row r="76" spans="1:17" ht="75" customHeight="1">
      <c r="A76" s="407"/>
      <c r="B76" s="408"/>
      <c r="C76" s="408"/>
      <c r="D76" s="408"/>
      <c r="E76" s="408"/>
      <c r="F76" s="408"/>
      <c r="G76" s="408"/>
      <c r="H76" s="408"/>
      <c r="I76" s="408"/>
      <c r="J76" s="408"/>
      <c r="K76" s="408"/>
      <c r="L76" s="408"/>
      <c r="M76" s="408"/>
      <c r="N76" s="408"/>
      <c r="O76" s="408"/>
      <c r="P76" s="409"/>
    </row>
    <row r="84" spans="1:15" ht="14.5">
      <c r="A84" s="340" t="s">
        <v>294</v>
      </c>
      <c r="B84" s="340" t="s">
        <v>295</v>
      </c>
      <c r="C84" s="333" t="s">
        <v>296</v>
      </c>
      <c r="D84" s="333"/>
      <c r="E84" s="339" t="s">
        <v>75</v>
      </c>
      <c r="F84" s="339" t="s">
        <v>318</v>
      </c>
      <c r="G84" s="339"/>
      <c r="H84" s="339"/>
      <c r="I84" s="339"/>
      <c r="J84" s="339"/>
      <c r="K84" s="339" t="s">
        <v>319</v>
      </c>
      <c r="L84" s="410" t="s">
        <v>5</v>
      </c>
      <c r="M84" s="378"/>
      <c r="N84" s="378"/>
      <c r="O84" s="378"/>
    </row>
    <row r="85" spans="1:15" ht="14.5">
      <c r="A85" s="347"/>
      <c r="B85" s="347"/>
      <c r="C85" s="99" t="s">
        <v>300</v>
      </c>
      <c r="D85" s="99" t="s">
        <v>340</v>
      </c>
      <c r="E85" s="365"/>
      <c r="F85" s="140">
        <v>1</v>
      </c>
      <c r="G85" s="140">
        <v>2</v>
      </c>
      <c r="H85" s="140">
        <v>3</v>
      </c>
      <c r="I85" s="140">
        <v>4</v>
      </c>
      <c r="J85" s="140">
        <v>5</v>
      </c>
      <c r="K85" s="365"/>
      <c r="L85" s="410"/>
      <c r="M85" s="378"/>
      <c r="N85" s="378"/>
      <c r="O85" s="378"/>
    </row>
    <row r="86" spans="1:15" ht="14.5">
      <c r="A86" s="348" t="s">
        <v>341</v>
      </c>
      <c r="B86" s="355" t="s">
        <v>342</v>
      </c>
      <c r="C86" s="360" t="s">
        <v>343</v>
      </c>
      <c r="D86" s="141" t="s">
        <v>344</v>
      </c>
      <c r="E86" s="142">
        <v>0.3</v>
      </c>
      <c r="F86" s="143">
        <v>37100</v>
      </c>
      <c r="G86" s="143">
        <v>24700</v>
      </c>
      <c r="H86" s="143">
        <v>20600</v>
      </c>
      <c r="I86" s="143">
        <v>16000</v>
      </c>
      <c r="J86" s="143">
        <v>14200</v>
      </c>
      <c r="K86" s="149">
        <v>14200</v>
      </c>
      <c r="L86" s="411"/>
      <c r="M86" s="381"/>
      <c r="N86" s="381"/>
      <c r="O86" s="382"/>
    </row>
    <row r="87" spans="1:15" ht="14.5">
      <c r="A87" s="349"/>
      <c r="B87" s="356"/>
      <c r="C87" s="345"/>
      <c r="D87" s="144" t="s">
        <v>345</v>
      </c>
      <c r="E87" s="145">
        <v>0.3</v>
      </c>
      <c r="F87" s="101">
        <v>60300</v>
      </c>
      <c r="G87" s="101">
        <v>40200</v>
      </c>
      <c r="H87" s="101">
        <v>33500</v>
      </c>
      <c r="I87" s="101">
        <v>25900</v>
      </c>
      <c r="J87" s="101">
        <v>23000</v>
      </c>
      <c r="K87" s="150">
        <v>23000</v>
      </c>
      <c r="L87" s="349"/>
      <c r="M87" s="383"/>
      <c r="N87" s="383"/>
      <c r="O87" s="384"/>
    </row>
    <row r="88" spans="1:15" ht="14.5">
      <c r="A88" s="349"/>
      <c r="B88" s="356"/>
      <c r="C88" s="345"/>
      <c r="D88" s="144" t="s">
        <v>346</v>
      </c>
      <c r="E88" s="145">
        <v>0.35</v>
      </c>
      <c r="F88" s="101">
        <v>126500</v>
      </c>
      <c r="G88" s="101">
        <v>84400</v>
      </c>
      <c r="H88" s="101">
        <v>70300</v>
      </c>
      <c r="I88" s="101">
        <v>54300</v>
      </c>
      <c r="J88" s="101">
        <v>48300</v>
      </c>
      <c r="K88" s="150">
        <v>48300</v>
      </c>
      <c r="L88" s="349"/>
      <c r="M88" s="383"/>
      <c r="N88" s="383"/>
      <c r="O88" s="384"/>
    </row>
    <row r="89" spans="1:15" ht="14.5">
      <c r="A89" s="349"/>
      <c r="B89" s="356"/>
      <c r="C89" s="361"/>
      <c r="D89" s="146" t="s">
        <v>347</v>
      </c>
      <c r="E89" s="147">
        <v>0.35</v>
      </c>
      <c r="F89" s="148">
        <v>288500</v>
      </c>
      <c r="G89" s="148">
        <v>192400</v>
      </c>
      <c r="H89" s="148">
        <v>160300</v>
      </c>
      <c r="I89" s="148">
        <v>124000</v>
      </c>
      <c r="J89" s="148">
        <v>110200</v>
      </c>
      <c r="K89" s="151">
        <v>110200</v>
      </c>
      <c r="L89" s="349"/>
      <c r="M89" s="383"/>
      <c r="N89" s="383"/>
      <c r="O89" s="384"/>
    </row>
    <row r="90" spans="1:15" ht="14.5">
      <c r="A90" s="349"/>
      <c r="B90" s="356"/>
      <c r="C90" s="362" t="s">
        <v>348</v>
      </c>
      <c r="D90" s="141" t="s">
        <v>349</v>
      </c>
      <c r="E90" s="142">
        <v>0.3</v>
      </c>
      <c r="F90" s="143">
        <v>35500</v>
      </c>
      <c r="G90" s="143">
        <v>23600</v>
      </c>
      <c r="H90" s="143">
        <v>19700</v>
      </c>
      <c r="I90" s="143">
        <v>15300</v>
      </c>
      <c r="J90" s="143">
        <v>13600</v>
      </c>
      <c r="K90" s="149">
        <v>13600</v>
      </c>
      <c r="L90" s="349"/>
      <c r="M90" s="383"/>
      <c r="N90" s="383"/>
      <c r="O90" s="384"/>
    </row>
    <row r="91" spans="1:15" ht="14.5">
      <c r="A91" s="349"/>
      <c r="B91" s="356"/>
      <c r="C91" s="363"/>
      <c r="D91" s="144" t="s">
        <v>350</v>
      </c>
      <c r="E91" s="145">
        <v>0.3</v>
      </c>
      <c r="F91" s="101">
        <v>56900</v>
      </c>
      <c r="G91" s="101">
        <v>37900</v>
      </c>
      <c r="H91" s="101">
        <v>31600</v>
      </c>
      <c r="I91" s="101">
        <v>24400</v>
      </c>
      <c r="J91" s="101">
        <v>21700</v>
      </c>
      <c r="K91" s="150">
        <v>21700</v>
      </c>
      <c r="L91" s="349"/>
      <c r="M91" s="383"/>
      <c r="N91" s="383"/>
      <c r="O91" s="384"/>
    </row>
    <row r="92" spans="1:15" ht="14.5">
      <c r="A92" s="349"/>
      <c r="B92" s="356"/>
      <c r="C92" s="363"/>
      <c r="D92" s="144" t="s">
        <v>351</v>
      </c>
      <c r="E92" s="145">
        <v>0.35</v>
      </c>
      <c r="F92" s="101">
        <v>113800</v>
      </c>
      <c r="G92" s="101">
        <v>75800</v>
      </c>
      <c r="H92" s="101">
        <v>63200</v>
      </c>
      <c r="I92" s="101">
        <v>48800</v>
      </c>
      <c r="J92" s="101">
        <v>43400</v>
      </c>
      <c r="K92" s="150">
        <v>43400</v>
      </c>
      <c r="L92" s="349"/>
      <c r="M92" s="383"/>
      <c r="N92" s="383"/>
      <c r="O92" s="384"/>
    </row>
    <row r="93" spans="1:15" ht="19.5" customHeight="1">
      <c r="A93" s="349"/>
      <c r="B93" s="356"/>
      <c r="C93" s="364"/>
      <c r="D93" s="146" t="s">
        <v>352</v>
      </c>
      <c r="E93" s="147">
        <v>0.35</v>
      </c>
      <c r="F93" s="148">
        <v>277000</v>
      </c>
      <c r="G93" s="148">
        <v>184700</v>
      </c>
      <c r="H93" s="148">
        <v>153900</v>
      </c>
      <c r="I93" s="148">
        <v>119000</v>
      </c>
      <c r="J93" s="148">
        <v>105800</v>
      </c>
      <c r="K93" s="151">
        <v>105800</v>
      </c>
      <c r="L93" s="349"/>
      <c r="M93" s="383"/>
      <c r="N93" s="383"/>
      <c r="O93" s="384"/>
    </row>
    <row r="94" spans="1:15" ht="14.5">
      <c r="A94" s="349"/>
      <c r="B94" s="356"/>
      <c r="C94" s="362" t="s">
        <v>353</v>
      </c>
      <c r="D94" s="141" t="s">
        <v>354</v>
      </c>
      <c r="E94" s="142">
        <v>0.3</v>
      </c>
      <c r="F94" s="143">
        <v>42500</v>
      </c>
      <c r="G94" s="143">
        <v>28300</v>
      </c>
      <c r="H94" s="143">
        <v>23600</v>
      </c>
      <c r="I94" s="143">
        <v>18200</v>
      </c>
      <c r="J94" s="143">
        <v>16200</v>
      </c>
      <c r="K94" s="149">
        <v>16200</v>
      </c>
      <c r="L94" s="349"/>
      <c r="M94" s="383"/>
      <c r="N94" s="383"/>
      <c r="O94" s="384"/>
    </row>
    <row r="95" spans="1:15" ht="14.5">
      <c r="A95" s="349"/>
      <c r="B95" s="356"/>
      <c r="C95" s="363"/>
      <c r="D95" s="144" t="s">
        <v>355</v>
      </c>
      <c r="E95" s="145">
        <v>0.3</v>
      </c>
      <c r="F95" s="101">
        <v>71100</v>
      </c>
      <c r="G95" s="101">
        <v>47400</v>
      </c>
      <c r="H95" s="101">
        <v>39500</v>
      </c>
      <c r="I95" s="101">
        <v>30500</v>
      </c>
      <c r="J95" s="101">
        <v>27100</v>
      </c>
      <c r="K95" s="150">
        <v>27100</v>
      </c>
      <c r="L95" s="349"/>
      <c r="M95" s="383"/>
      <c r="N95" s="383"/>
      <c r="O95" s="384"/>
    </row>
    <row r="96" spans="1:15" ht="14.5">
      <c r="A96" s="349"/>
      <c r="B96" s="356"/>
      <c r="C96" s="363"/>
      <c r="D96" s="144" t="s">
        <v>356</v>
      </c>
      <c r="E96" s="145">
        <v>0.35</v>
      </c>
      <c r="F96" s="101">
        <v>144000</v>
      </c>
      <c r="G96" s="101">
        <v>96000</v>
      </c>
      <c r="H96" s="101">
        <v>80000</v>
      </c>
      <c r="I96" s="101">
        <v>61900</v>
      </c>
      <c r="J96" s="101">
        <v>55000</v>
      </c>
      <c r="K96" s="150">
        <v>55000</v>
      </c>
      <c r="L96" s="349"/>
      <c r="M96" s="383"/>
      <c r="N96" s="383"/>
      <c r="O96" s="384"/>
    </row>
    <row r="97" spans="1:15" ht="14.5">
      <c r="A97" s="350"/>
      <c r="B97" s="357"/>
      <c r="C97" s="364"/>
      <c r="D97" s="146" t="s">
        <v>357</v>
      </c>
      <c r="E97" s="147">
        <v>0.35</v>
      </c>
      <c r="F97" s="148">
        <v>325400</v>
      </c>
      <c r="G97" s="148">
        <v>217000</v>
      </c>
      <c r="H97" s="148">
        <v>180800</v>
      </c>
      <c r="I97" s="148">
        <v>139700</v>
      </c>
      <c r="J97" s="148">
        <v>124200</v>
      </c>
      <c r="K97" s="151">
        <v>124200</v>
      </c>
      <c r="L97" s="350"/>
      <c r="M97" s="412"/>
      <c r="N97" s="412"/>
      <c r="O97" s="413"/>
    </row>
    <row r="98" spans="1:15">
      <c r="A98" s="385" t="s">
        <v>358</v>
      </c>
      <c r="B98" s="386"/>
      <c r="C98" s="386"/>
      <c r="D98" s="386"/>
      <c r="E98" s="386"/>
      <c r="F98" s="386"/>
      <c r="G98" s="386"/>
      <c r="H98" s="386"/>
      <c r="I98" s="386"/>
      <c r="J98" s="386"/>
      <c r="K98" s="386"/>
      <c r="L98" s="386"/>
      <c r="M98" s="386"/>
      <c r="N98" s="386"/>
      <c r="O98" s="387"/>
    </row>
    <row r="99" spans="1:15" ht="22" customHeight="1">
      <c r="A99" s="388"/>
      <c r="B99" s="389"/>
      <c r="C99" s="389"/>
      <c r="D99" s="389"/>
      <c r="E99" s="389"/>
      <c r="F99" s="389"/>
      <c r="G99" s="389"/>
      <c r="H99" s="389"/>
      <c r="I99" s="389"/>
      <c r="J99" s="389"/>
      <c r="K99" s="389"/>
      <c r="L99" s="389"/>
      <c r="M99" s="389"/>
      <c r="N99" s="389"/>
      <c r="O99" s="390"/>
    </row>
  </sheetData>
  <mergeCells count="79">
    <mergeCell ref="L86:O97"/>
    <mergeCell ref="A98:O99"/>
    <mergeCell ref="K84:K85"/>
    <mergeCell ref="L6:L12"/>
    <mergeCell ref="L23:L24"/>
    <mergeCell ref="L53:L54"/>
    <mergeCell ref="P6:P9"/>
    <mergeCell ref="P10:P12"/>
    <mergeCell ref="L13:P14"/>
    <mergeCell ref="M23:P24"/>
    <mergeCell ref="M25:P44"/>
    <mergeCell ref="A45:P46"/>
    <mergeCell ref="M53:P54"/>
    <mergeCell ref="M55:P74"/>
    <mergeCell ref="A75:P76"/>
    <mergeCell ref="L84:O85"/>
    <mergeCell ref="D71:D72"/>
    <mergeCell ref="D73:D74"/>
    <mergeCell ref="E4:E5"/>
    <mergeCell ref="E84:E85"/>
    <mergeCell ref="F4:F5"/>
    <mergeCell ref="F23:F24"/>
    <mergeCell ref="F53:F54"/>
    <mergeCell ref="A13:J14"/>
    <mergeCell ref="D61:D62"/>
    <mergeCell ref="D63:D64"/>
    <mergeCell ref="D65:D66"/>
    <mergeCell ref="D67:D68"/>
    <mergeCell ref="D69:D70"/>
    <mergeCell ref="C86:C89"/>
    <mergeCell ref="C90:C93"/>
    <mergeCell ref="C94:C97"/>
    <mergeCell ref="D25:D26"/>
    <mergeCell ref="D27:D28"/>
    <mergeCell ref="D29:D30"/>
    <mergeCell ref="D31:D32"/>
    <mergeCell ref="D33:D34"/>
    <mergeCell ref="D35:D36"/>
    <mergeCell ref="D37:D38"/>
    <mergeCell ref="D39:D40"/>
    <mergeCell ref="D41:D42"/>
    <mergeCell ref="D43:D44"/>
    <mergeCell ref="D55:D56"/>
    <mergeCell ref="D57:D58"/>
    <mergeCell ref="D59:D60"/>
    <mergeCell ref="A86:A97"/>
    <mergeCell ref="B4:B5"/>
    <mergeCell ref="B6:B12"/>
    <mergeCell ref="B23:B24"/>
    <mergeCell ref="B25:B44"/>
    <mergeCell ref="B53:B54"/>
    <mergeCell ref="B55:B74"/>
    <mergeCell ref="B84:B85"/>
    <mergeCell ref="B86:B97"/>
    <mergeCell ref="C53:E53"/>
    <mergeCell ref="G53:K53"/>
    <mergeCell ref="C84:D84"/>
    <mergeCell ref="F84:J84"/>
    <mergeCell ref="A4:A5"/>
    <mergeCell ref="A6:A12"/>
    <mergeCell ref="A23:A24"/>
    <mergeCell ref="A25:A44"/>
    <mergeCell ref="A53:A54"/>
    <mergeCell ref="A55:A74"/>
    <mergeCell ref="A84:A85"/>
    <mergeCell ref="C6:C12"/>
    <mergeCell ref="C25:C34"/>
    <mergeCell ref="C35:C44"/>
    <mergeCell ref="C55:C64"/>
    <mergeCell ref="C65:C74"/>
    <mergeCell ref="A2:G2"/>
    <mergeCell ref="A3:G3"/>
    <mergeCell ref="C4:D4"/>
    <mergeCell ref="L4:P4"/>
    <mergeCell ref="C23:E23"/>
    <mergeCell ref="G23:K23"/>
    <mergeCell ref="G4:G5"/>
    <mergeCell ref="H4:J5"/>
    <mergeCell ref="H6:J12"/>
  </mergeCells>
  <phoneticPr fontId="59" type="noConversion"/>
  <pageMargins left="0.7" right="0.7" top="0.75" bottom="0.75" header="0.3" footer="0.3"/>
  <pageSetup paperSize="8" orientation="landscape"/>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U69"/>
  <sheetViews>
    <sheetView topLeftCell="C5" zoomScale="85" zoomScaleNormal="85" workbookViewId="0">
      <selection activeCell="J6" sqref="J6:J8"/>
    </sheetView>
  </sheetViews>
  <sheetFormatPr defaultColWidth="16.9140625" defaultRowHeight="14.5"/>
  <cols>
    <col min="1" max="9" width="11.33203125" style="119" customWidth="1"/>
    <col min="10" max="10" width="16.25" style="119" customWidth="1"/>
    <col min="11" max="21" width="11.33203125" style="119" customWidth="1"/>
    <col min="22" max="16384" width="16.9140625" style="119"/>
  </cols>
  <sheetData>
    <row r="1" spans="1:21" ht="38" customHeight="1">
      <c r="A1" s="414" t="s">
        <v>359</v>
      </c>
      <c r="B1" s="414"/>
      <c r="C1" s="414"/>
      <c r="D1" s="414"/>
      <c r="E1" s="414"/>
      <c r="F1" s="414"/>
      <c r="G1" s="414"/>
      <c r="H1" s="414"/>
      <c r="I1" s="414"/>
      <c r="J1" s="414"/>
      <c r="K1" s="414"/>
      <c r="L1" s="414"/>
      <c r="M1" s="414"/>
      <c r="N1" s="414"/>
      <c r="O1" s="414"/>
      <c r="P1" s="414"/>
      <c r="Q1" s="414"/>
      <c r="R1" s="414"/>
      <c r="S1" s="414"/>
      <c r="T1" s="414"/>
      <c r="U1" s="414"/>
    </row>
    <row r="2" spans="1:21">
      <c r="A2" s="120"/>
      <c r="B2" s="415" t="s">
        <v>360</v>
      </c>
      <c r="C2" s="415" t="s">
        <v>361</v>
      </c>
      <c r="D2" s="415" t="s">
        <v>362</v>
      </c>
      <c r="E2" s="415" t="s">
        <v>363</v>
      </c>
      <c r="F2" s="415"/>
      <c r="G2" s="415"/>
      <c r="H2" s="415"/>
      <c r="I2" s="415"/>
      <c r="J2" s="415"/>
      <c r="K2" s="415"/>
      <c r="L2" s="415"/>
      <c r="M2" s="415"/>
      <c r="N2" s="415"/>
      <c r="O2" s="415"/>
      <c r="P2" s="415"/>
      <c r="Q2" s="415"/>
      <c r="R2" s="415"/>
      <c r="S2" s="415" t="s">
        <v>364</v>
      </c>
      <c r="T2" s="415"/>
      <c r="U2" s="415"/>
    </row>
    <row r="3" spans="1:21" ht="61.25" customHeight="1">
      <c r="A3" s="121" t="s">
        <v>365</v>
      </c>
      <c r="B3" s="415"/>
      <c r="C3" s="415"/>
      <c r="D3" s="415"/>
      <c r="E3" s="121" t="s">
        <v>366</v>
      </c>
      <c r="F3" s="121" t="s">
        <v>367</v>
      </c>
      <c r="G3" s="121" t="s">
        <v>368</v>
      </c>
      <c r="H3" s="121" t="s">
        <v>369</v>
      </c>
      <c r="I3" s="121" t="s">
        <v>370</v>
      </c>
      <c r="J3" s="121" t="s">
        <v>371</v>
      </c>
      <c r="K3" s="121" t="s">
        <v>372</v>
      </c>
      <c r="L3" s="121" t="s">
        <v>373</v>
      </c>
      <c r="M3" s="121" t="s">
        <v>374</v>
      </c>
      <c r="N3" s="121" t="s">
        <v>375</v>
      </c>
      <c r="O3" s="121" t="s">
        <v>361</v>
      </c>
      <c r="P3" s="121" t="s">
        <v>376</v>
      </c>
      <c r="Q3" s="121" t="s">
        <v>377</v>
      </c>
      <c r="R3" s="121" t="s">
        <v>378</v>
      </c>
      <c r="S3" s="121" t="s">
        <v>379</v>
      </c>
      <c r="T3" s="121" t="s">
        <v>380</v>
      </c>
      <c r="U3" s="121" t="s">
        <v>381</v>
      </c>
    </row>
    <row r="4" spans="1:21" ht="29">
      <c r="A4" s="417" t="s">
        <v>382</v>
      </c>
      <c r="B4" s="417" t="s">
        <v>383</v>
      </c>
      <c r="C4" s="417" t="s">
        <v>384</v>
      </c>
      <c r="D4" s="422" t="s">
        <v>385</v>
      </c>
      <c r="E4" s="417" t="s">
        <v>386</v>
      </c>
      <c r="F4" s="424" t="s">
        <v>387</v>
      </c>
      <c r="G4" s="426" t="s">
        <v>388</v>
      </c>
      <c r="H4" s="426" t="s">
        <v>389</v>
      </c>
      <c r="I4" s="417" t="s">
        <v>390</v>
      </c>
      <c r="J4" s="417" t="s">
        <v>391</v>
      </c>
      <c r="K4" s="417" t="s">
        <v>392</v>
      </c>
      <c r="L4" s="417" t="s">
        <v>393</v>
      </c>
      <c r="M4" s="417" t="s">
        <v>391</v>
      </c>
      <c r="N4" s="417" t="s">
        <v>394</v>
      </c>
      <c r="O4" s="122" t="s">
        <v>395</v>
      </c>
      <c r="P4" s="122" t="s">
        <v>396</v>
      </c>
      <c r="Q4" s="122" t="s">
        <v>397</v>
      </c>
      <c r="R4" s="123" t="s">
        <v>398</v>
      </c>
      <c r="S4" s="433" t="s">
        <v>399</v>
      </c>
      <c r="T4" s="433" t="s">
        <v>400</v>
      </c>
      <c r="U4" s="434" t="s">
        <v>401</v>
      </c>
    </row>
    <row r="5" spans="1:21" ht="111" customHeight="1">
      <c r="A5" s="417"/>
      <c r="B5" s="417"/>
      <c r="C5" s="417"/>
      <c r="D5" s="417"/>
      <c r="E5" s="417"/>
      <c r="F5" s="425"/>
      <c r="G5" s="426"/>
      <c r="H5" s="426"/>
      <c r="I5" s="417"/>
      <c r="J5" s="417"/>
      <c r="K5" s="417"/>
      <c r="L5" s="417"/>
      <c r="M5" s="417"/>
      <c r="N5" s="417"/>
      <c r="O5" s="123" t="s">
        <v>402</v>
      </c>
      <c r="P5" s="123" t="s">
        <v>403</v>
      </c>
      <c r="Q5" s="123">
        <v>285</v>
      </c>
      <c r="R5" s="123" t="s">
        <v>404</v>
      </c>
      <c r="S5" s="433"/>
      <c r="T5" s="433"/>
      <c r="U5" s="434"/>
    </row>
    <row r="6" spans="1:21" ht="47" customHeight="1">
      <c r="A6" s="417"/>
      <c r="B6" s="417"/>
      <c r="C6" s="417"/>
      <c r="D6" s="422"/>
      <c r="E6" s="417" t="s">
        <v>405</v>
      </c>
      <c r="F6" s="425"/>
      <c r="G6" s="427" t="s">
        <v>388</v>
      </c>
      <c r="H6" s="427" t="s">
        <v>389</v>
      </c>
      <c r="I6" s="425" t="s">
        <v>406</v>
      </c>
      <c r="J6" s="425" t="s">
        <v>391</v>
      </c>
      <c r="K6" s="425" t="s">
        <v>407</v>
      </c>
      <c r="L6" s="425" t="s">
        <v>408</v>
      </c>
      <c r="M6" s="425" t="s">
        <v>391</v>
      </c>
      <c r="N6" s="425" t="s">
        <v>409</v>
      </c>
      <c r="O6" s="122" t="s">
        <v>395</v>
      </c>
      <c r="P6" s="122" t="s">
        <v>410</v>
      </c>
      <c r="Q6" s="122" t="s">
        <v>411</v>
      </c>
      <c r="R6" s="130" t="s">
        <v>412</v>
      </c>
      <c r="S6" s="433"/>
      <c r="T6" s="433"/>
      <c r="U6" s="434"/>
    </row>
    <row r="7" spans="1:21">
      <c r="A7" s="417"/>
      <c r="B7" s="417"/>
      <c r="C7" s="417"/>
      <c r="D7" s="422"/>
      <c r="E7" s="417"/>
      <c r="F7" s="425"/>
      <c r="G7" s="427"/>
      <c r="H7" s="427"/>
      <c r="I7" s="425"/>
      <c r="J7" s="425"/>
      <c r="K7" s="425"/>
      <c r="L7" s="425"/>
      <c r="M7" s="425"/>
      <c r="N7" s="425"/>
      <c r="O7" s="417" t="s">
        <v>402</v>
      </c>
      <c r="P7" s="417" t="s">
        <v>403</v>
      </c>
      <c r="Q7" s="417">
        <v>150</v>
      </c>
      <c r="R7" s="417" t="s">
        <v>413</v>
      </c>
      <c r="S7" s="433"/>
      <c r="T7" s="433"/>
      <c r="U7" s="434"/>
    </row>
    <row r="8" spans="1:21" ht="71" customHeight="1">
      <c r="A8" s="417"/>
      <c r="B8" s="417"/>
      <c r="C8" s="417"/>
      <c r="D8" s="422"/>
      <c r="E8" s="417"/>
      <c r="F8" s="425"/>
      <c r="G8" s="427"/>
      <c r="H8" s="427"/>
      <c r="I8" s="425"/>
      <c r="J8" s="425"/>
      <c r="K8" s="425"/>
      <c r="L8" s="425"/>
      <c r="M8" s="425"/>
      <c r="N8" s="425"/>
      <c r="O8" s="432"/>
      <c r="P8" s="432"/>
      <c r="Q8" s="432"/>
      <c r="R8" s="417"/>
      <c r="S8" s="433"/>
      <c r="T8" s="433"/>
      <c r="U8" s="434"/>
    </row>
    <row r="9" spans="1:21" ht="35" customHeight="1">
      <c r="A9" s="417"/>
      <c r="B9" s="417"/>
      <c r="C9" s="417"/>
      <c r="D9" s="422"/>
      <c r="E9" s="417" t="s">
        <v>414</v>
      </c>
      <c r="F9" s="425"/>
      <c r="G9" s="427" t="s">
        <v>388</v>
      </c>
      <c r="H9" s="427" t="s">
        <v>389</v>
      </c>
      <c r="I9" s="425" t="s">
        <v>415</v>
      </c>
      <c r="J9" s="425" t="s">
        <v>391</v>
      </c>
      <c r="K9" s="425" t="s">
        <v>407</v>
      </c>
      <c r="L9" s="425" t="s">
        <v>408</v>
      </c>
      <c r="M9" s="425" t="s">
        <v>416</v>
      </c>
      <c r="N9" s="425" t="s">
        <v>409</v>
      </c>
      <c r="O9" s="122" t="s">
        <v>395</v>
      </c>
      <c r="P9" s="122" t="s">
        <v>417</v>
      </c>
      <c r="Q9" s="122" t="s">
        <v>418</v>
      </c>
      <c r="R9" s="130" t="s">
        <v>419</v>
      </c>
      <c r="S9" s="433"/>
      <c r="T9" s="433"/>
      <c r="U9" s="434"/>
    </row>
    <row r="10" spans="1:21" ht="16.5" customHeight="1">
      <c r="A10" s="417"/>
      <c r="B10" s="417"/>
      <c r="C10" s="417"/>
      <c r="D10" s="422"/>
      <c r="E10" s="417"/>
      <c r="F10" s="425"/>
      <c r="G10" s="427"/>
      <c r="H10" s="427"/>
      <c r="I10" s="425"/>
      <c r="J10" s="425"/>
      <c r="K10" s="425"/>
      <c r="L10" s="425"/>
      <c r="M10" s="425"/>
      <c r="N10" s="425"/>
      <c r="O10" s="417" t="s">
        <v>402</v>
      </c>
      <c r="P10" s="417" t="s">
        <v>403</v>
      </c>
      <c r="Q10" s="417">
        <v>130</v>
      </c>
      <c r="R10" s="417" t="s">
        <v>420</v>
      </c>
      <c r="S10" s="433"/>
      <c r="T10" s="433"/>
      <c r="U10" s="434"/>
    </row>
    <row r="11" spans="1:21" ht="68" customHeight="1">
      <c r="A11" s="417"/>
      <c r="B11" s="417"/>
      <c r="C11" s="417"/>
      <c r="D11" s="422"/>
      <c r="E11" s="417"/>
      <c r="F11" s="425"/>
      <c r="G11" s="427"/>
      <c r="H11" s="427"/>
      <c r="I11" s="425"/>
      <c r="J11" s="425"/>
      <c r="K11" s="425"/>
      <c r="L11" s="425"/>
      <c r="M11" s="425"/>
      <c r="N11" s="425"/>
      <c r="O11" s="417"/>
      <c r="P11" s="417"/>
      <c r="Q11" s="417"/>
      <c r="R11" s="417"/>
      <c r="S11" s="433"/>
      <c r="T11" s="433"/>
      <c r="U11" s="434"/>
    </row>
    <row r="12" spans="1:21" ht="32.4" customHeight="1">
      <c r="A12" s="417"/>
      <c r="B12" s="417"/>
      <c r="C12" s="417"/>
      <c r="D12" s="422"/>
      <c r="E12" s="417" t="s">
        <v>421</v>
      </c>
      <c r="F12" s="425"/>
      <c r="G12" s="427" t="s">
        <v>388</v>
      </c>
      <c r="H12" s="427" t="s">
        <v>389</v>
      </c>
      <c r="I12" s="425" t="s">
        <v>415</v>
      </c>
      <c r="J12" s="425" t="s">
        <v>391</v>
      </c>
      <c r="K12" s="425" t="s">
        <v>407</v>
      </c>
      <c r="L12" s="425" t="s">
        <v>422</v>
      </c>
      <c r="M12" s="425" t="s">
        <v>416</v>
      </c>
      <c r="N12" s="425" t="s">
        <v>409</v>
      </c>
      <c r="O12" s="122" t="s">
        <v>395</v>
      </c>
      <c r="P12" s="122" t="s">
        <v>423</v>
      </c>
      <c r="Q12" s="122" t="s">
        <v>424</v>
      </c>
      <c r="R12" s="130" t="s">
        <v>425</v>
      </c>
      <c r="S12" s="433"/>
      <c r="T12" s="433"/>
      <c r="U12" s="434"/>
    </row>
    <row r="13" spans="1:21" ht="16.5" customHeight="1">
      <c r="A13" s="417"/>
      <c r="B13" s="417"/>
      <c r="C13" s="417"/>
      <c r="D13" s="422"/>
      <c r="E13" s="417"/>
      <c r="F13" s="425"/>
      <c r="G13" s="427"/>
      <c r="H13" s="427"/>
      <c r="I13" s="425"/>
      <c r="J13" s="425"/>
      <c r="K13" s="425"/>
      <c r="L13" s="425"/>
      <c r="M13" s="425"/>
      <c r="N13" s="425"/>
      <c r="O13" s="417" t="s">
        <v>402</v>
      </c>
      <c r="P13" s="417" t="s">
        <v>403</v>
      </c>
      <c r="Q13" s="417">
        <v>100</v>
      </c>
      <c r="R13" s="417" t="s">
        <v>426</v>
      </c>
      <c r="S13" s="433"/>
      <c r="T13" s="433"/>
      <c r="U13" s="434"/>
    </row>
    <row r="14" spans="1:21" ht="58.25" customHeight="1">
      <c r="A14" s="417"/>
      <c r="B14" s="417"/>
      <c r="C14" s="417"/>
      <c r="D14" s="422"/>
      <c r="E14" s="417"/>
      <c r="F14" s="425"/>
      <c r="G14" s="427"/>
      <c r="H14" s="427"/>
      <c r="I14" s="425"/>
      <c r="J14" s="425"/>
      <c r="K14" s="425"/>
      <c r="L14" s="425"/>
      <c r="M14" s="425"/>
      <c r="N14" s="425"/>
      <c r="O14" s="417"/>
      <c r="P14" s="417"/>
      <c r="Q14" s="417"/>
      <c r="R14" s="417"/>
      <c r="S14" s="433"/>
      <c r="T14" s="433"/>
      <c r="U14" s="434"/>
    </row>
    <row r="15" spans="1:21" ht="35" customHeight="1">
      <c r="A15" s="417"/>
      <c r="B15" s="417"/>
      <c r="C15" s="417"/>
      <c r="D15" s="422"/>
      <c r="E15" s="417" t="s">
        <v>427</v>
      </c>
      <c r="F15" s="425"/>
      <c r="G15" s="426" t="s">
        <v>388</v>
      </c>
      <c r="H15" s="426" t="s">
        <v>389</v>
      </c>
      <c r="I15" s="417" t="s">
        <v>428</v>
      </c>
      <c r="J15" s="417" t="s">
        <v>391</v>
      </c>
      <c r="K15" s="417" t="s">
        <v>429</v>
      </c>
      <c r="L15" s="417" t="s">
        <v>430</v>
      </c>
      <c r="M15" s="417" t="s">
        <v>431</v>
      </c>
      <c r="N15" s="425" t="s">
        <v>432</v>
      </c>
      <c r="O15" s="122" t="s">
        <v>395</v>
      </c>
      <c r="P15" s="122" t="s">
        <v>433</v>
      </c>
      <c r="Q15" s="417" t="s">
        <v>434</v>
      </c>
      <c r="R15" s="417" t="s">
        <v>430</v>
      </c>
      <c r="S15" s="433"/>
      <c r="T15" s="433"/>
      <c r="U15" s="434"/>
    </row>
    <row r="16" spans="1:21">
      <c r="A16" s="417"/>
      <c r="B16" s="417"/>
      <c r="C16" s="417"/>
      <c r="D16" s="422"/>
      <c r="E16" s="417"/>
      <c r="F16" s="425"/>
      <c r="G16" s="426"/>
      <c r="H16" s="426"/>
      <c r="I16" s="417"/>
      <c r="J16" s="417"/>
      <c r="K16" s="417"/>
      <c r="L16" s="417"/>
      <c r="M16" s="417"/>
      <c r="N16" s="425"/>
      <c r="O16" s="417" t="s">
        <v>402</v>
      </c>
      <c r="P16" s="417" t="s">
        <v>403</v>
      </c>
      <c r="Q16" s="417"/>
      <c r="R16" s="417"/>
      <c r="S16" s="433"/>
      <c r="T16" s="433"/>
      <c r="U16" s="434"/>
    </row>
    <row r="17" spans="1:21">
      <c r="A17" s="417"/>
      <c r="B17" s="417"/>
      <c r="C17" s="417"/>
      <c r="D17" s="422"/>
      <c r="E17" s="417"/>
      <c r="F17" s="425"/>
      <c r="G17" s="426"/>
      <c r="H17" s="426"/>
      <c r="I17" s="417"/>
      <c r="J17" s="417"/>
      <c r="K17" s="417"/>
      <c r="L17" s="417"/>
      <c r="M17" s="417"/>
      <c r="N17" s="425"/>
      <c r="O17" s="417"/>
      <c r="P17" s="417"/>
      <c r="Q17" s="417"/>
      <c r="R17" s="417"/>
      <c r="S17" s="433"/>
      <c r="T17" s="433"/>
      <c r="U17" s="434"/>
    </row>
    <row r="18" spans="1:21" ht="35" hidden="1" customHeight="1">
      <c r="A18" s="417"/>
      <c r="B18" s="417"/>
      <c r="C18" s="417"/>
      <c r="D18" s="417"/>
      <c r="E18" s="417" t="s">
        <v>435</v>
      </c>
      <c r="F18" s="425"/>
      <c r="G18" s="123"/>
      <c r="H18" s="123"/>
      <c r="I18" s="123"/>
      <c r="J18" s="123"/>
      <c r="K18" s="123"/>
      <c r="L18" s="123"/>
      <c r="M18" s="417" t="s">
        <v>436</v>
      </c>
      <c r="N18" s="425" t="s">
        <v>409</v>
      </c>
      <c r="O18" s="122" t="s">
        <v>395</v>
      </c>
      <c r="P18" s="122" t="s">
        <v>437</v>
      </c>
      <c r="Q18" s="122" t="s">
        <v>438</v>
      </c>
      <c r="R18" s="130" t="s">
        <v>439</v>
      </c>
      <c r="S18" s="433"/>
      <c r="T18" s="433"/>
      <c r="U18" s="434"/>
    </row>
    <row r="19" spans="1:21" ht="65" hidden="1" customHeight="1">
      <c r="A19" s="417"/>
      <c r="B19" s="417"/>
      <c r="C19" s="417"/>
      <c r="D19" s="417"/>
      <c r="E19" s="417"/>
      <c r="F19" s="425"/>
      <c r="G19" s="123"/>
      <c r="H19" s="123"/>
      <c r="I19" s="123"/>
      <c r="J19" s="123"/>
      <c r="K19" s="123"/>
      <c r="L19" s="123"/>
      <c r="M19" s="417"/>
      <c r="N19" s="425"/>
      <c r="O19" s="417" t="s">
        <v>402</v>
      </c>
      <c r="P19" s="417" t="s">
        <v>403</v>
      </c>
      <c r="Q19" s="417">
        <v>185</v>
      </c>
      <c r="R19" s="417" t="s">
        <v>440</v>
      </c>
      <c r="S19" s="433"/>
      <c r="T19" s="433"/>
      <c r="U19" s="434"/>
    </row>
    <row r="20" spans="1:21" ht="35" hidden="1" customHeight="1">
      <c r="A20" s="417"/>
      <c r="B20" s="417"/>
      <c r="C20" s="417"/>
      <c r="D20" s="417"/>
      <c r="E20" s="417"/>
      <c r="F20" s="425"/>
      <c r="G20" s="123"/>
      <c r="H20" s="123"/>
      <c r="I20" s="123"/>
      <c r="J20" s="123"/>
      <c r="K20" s="123"/>
      <c r="L20" s="123"/>
      <c r="M20" s="417"/>
      <c r="N20" s="425"/>
      <c r="O20" s="417"/>
      <c r="P20" s="417"/>
      <c r="Q20" s="417"/>
      <c r="R20" s="417"/>
      <c r="S20" s="433"/>
      <c r="T20" s="433"/>
      <c r="U20" s="434"/>
    </row>
    <row r="22" spans="1:21" ht="41" customHeight="1">
      <c r="A22" s="124"/>
      <c r="B22" s="124"/>
      <c r="C22" s="416" t="s">
        <v>441</v>
      </c>
      <c r="D22" s="416"/>
      <c r="E22" s="416"/>
      <c r="F22" s="416"/>
      <c r="G22" s="416"/>
      <c r="H22" s="416"/>
      <c r="I22" s="416"/>
      <c r="J22" s="416"/>
      <c r="K22" s="416"/>
      <c r="L22" s="127"/>
      <c r="M22" s="127"/>
    </row>
    <row r="23" spans="1:21" ht="16.5">
      <c r="A23" s="418"/>
      <c r="B23" s="418"/>
      <c r="C23" s="125" t="s">
        <v>365</v>
      </c>
      <c r="D23" s="125" t="s">
        <v>442</v>
      </c>
      <c r="E23" s="125" t="s">
        <v>443</v>
      </c>
      <c r="F23" s="125" t="s">
        <v>376</v>
      </c>
      <c r="G23" s="125" t="s">
        <v>367</v>
      </c>
      <c r="H23" s="125" t="s">
        <v>444</v>
      </c>
      <c r="I23" s="125" t="s">
        <v>445</v>
      </c>
      <c r="J23" s="125" t="s">
        <v>446</v>
      </c>
      <c r="K23" s="125" t="s">
        <v>447</v>
      </c>
      <c r="L23" s="127"/>
      <c r="M23" s="127"/>
    </row>
    <row r="24" spans="1:21" ht="33">
      <c r="A24" s="418"/>
      <c r="B24" s="418"/>
      <c r="C24" s="419" t="s">
        <v>382</v>
      </c>
      <c r="D24" s="423" t="s">
        <v>448</v>
      </c>
      <c r="E24" s="423" t="s">
        <v>449</v>
      </c>
      <c r="F24" s="423" t="s">
        <v>450</v>
      </c>
      <c r="G24" s="126" t="s">
        <v>451</v>
      </c>
      <c r="H24" s="126" t="s">
        <v>452</v>
      </c>
      <c r="I24" s="423" t="s">
        <v>453</v>
      </c>
      <c r="J24" s="126" t="s">
        <v>454</v>
      </c>
      <c r="K24" s="429" t="s">
        <v>455</v>
      </c>
      <c r="L24" s="127"/>
      <c r="M24" s="127"/>
    </row>
    <row r="25" spans="1:21" ht="16.5">
      <c r="A25" s="418"/>
      <c r="B25" s="418"/>
      <c r="C25" s="420"/>
      <c r="D25" s="423"/>
      <c r="E25" s="423"/>
      <c r="F25" s="423"/>
      <c r="G25" s="126" t="s">
        <v>456</v>
      </c>
      <c r="H25" s="126" t="s">
        <v>457</v>
      </c>
      <c r="I25" s="423"/>
      <c r="J25" s="126" t="s">
        <v>458</v>
      </c>
      <c r="K25" s="430"/>
      <c r="L25" s="127"/>
      <c r="M25" s="127"/>
    </row>
    <row r="26" spans="1:21" ht="16.5">
      <c r="A26" s="418"/>
      <c r="B26" s="418"/>
      <c r="C26" s="420"/>
      <c r="D26" s="423"/>
      <c r="E26" s="423"/>
      <c r="F26" s="423"/>
      <c r="G26" s="126" t="s">
        <v>459</v>
      </c>
      <c r="H26" s="126" t="s">
        <v>460</v>
      </c>
      <c r="I26" s="423"/>
      <c r="J26" s="126" t="s">
        <v>461</v>
      </c>
      <c r="K26" s="431"/>
      <c r="L26" s="127"/>
      <c r="M26" s="127"/>
    </row>
    <row r="27" spans="1:21" ht="33">
      <c r="A27" s="418"/>
      <c r="B27" s="418"/>
      <c r="C27" s="420"/>
      <c r="D27" s="423"/>
      <c r="E27" s="423" t="s">
        <v>462</v>
      </c>
      <c r="F27" s="423" t="s">
        <v>463</v>
      </c>
      <c r="G27" s="126" t="s">
        <v>464</v>
      </c>
      <c r="H27" s="126" t="s">
        <v>465</v>
      </c>
      <c r="I27" s="128" t="s">
        <v>465</v>
      </c>
      <c r="J27" s="126" t="s">
        <v>466</v>
      </c>
      <c r="K27" s="129" t="s">
        <v>467</v>
      </c>
      <c r="L27" s="127"/>
      <c r="M27" s="127"/>
    </row>
    <row r="28" spans="1:21" ht="33">
      <c r="A28" s="418"/>
      <c r="B28" s="418"/>
      <c r="C28" s="420"/>
      <c r="D28" s="423"/>
      <c r="E28" s="423"/>
      <c r="F28" s="423"/>
      <c r="G28" s="423" t="s">
        <v>468</v>
      </c>
      <c r="H28" s="423" t="s">
        <v>469</v>
      </c>
      <c r="I28" s="423" t="s">
        <v>470</v>
      </c>
      <c r="J28" s="126" t="s">
        <v>471</v>
      </c>
      <c r="K28" s="129" t="s">
        <v>472</v>
      </c>
      <c r="L28" s="127"/>
      <c r="M28" s="127"/>
    </row>
    <row r="29" spans="1:21" ht="33">
      <c r="A29" s="418"/>
      <c r="B29" s="418"/>
      <c r="C29" s="420"/>
      <c r="D29" s="423"/>
      <c r="E29" s="423"/>
      <c r="F29" s="423"/>
      <c r="G29" s="428"/>
      <c r="H29" s="423"/>
      <c r="I29" s="423"/>
      <c r="J29" s="126" t="s">
        <v>473</v>
      </c>
      <c r="K29" s="129" t="s">
        <v>474</v>
      </c>
      <c r="L29" s="127"/>
      <c r="M29" s="127"/>
    </row>
    <row r="30" spans="1:21" ht="33">
      <c r="A30" s="418"/>
      <c r="B30" s="418"/>
      <c r="C30" s="420"/>
      <c r="D30" s="423"/>
      <c r="E30" s="423"/>
      <c r="F30" s="423"/>
      <c r="G30" s="428"/>
      <c r="H30" s="423"/>
      <c r="I30" s="423"/>
      <c r="J30" s="126" t="s">
        <v>475</v>
      </c>
      <c r="K30" s="129" t="s">
        <v>476</v>
      </c>
      <c r="L30" s="127"/>
      <c r="M30" s="127"/>
    </row>
    <row r="31" spans="1:21" ht="82.5">
      <c r="A31" s="418"/>
      <c r="B31" s="418"/>
      <c r="C31" s="420"/>
      <c r="D31" s="423"/>
      <c r="E31" s="423"/>
      <c r="F31" s="423"/>
      <c r="G31" s="428"/>
      <c r="H31" s="423"/>
      <c r="I31" s="126" t="s">
        <v>477</v>
      </c>
      <c r="J31" s="126" t="s">
        <v>478</v>
      </c>
      <c r="K31" s="129" t="s">
        <v>479</v>
      </c>
      <c r="L31" s="127"/>
      <c r="M31" s="127"/>
    </row>
    <row r="32" spans="1:21" ht="49.5">
      <c r="A32" s="418"/>
      <c r="B32" s="418"/>
      <c r="C32" s="420"/>
      <c r="D32" s="423"/>
      <c r="E32" s="423"/>
      <c r="F32" s="423"/>
      <c r="G32" s="423" t="s">
        <v>480</v>
      </c>
      <c r="H32" s="423" t="s">
        <v>481</v>
      </c>
      <c r="I32" s="419" t="s">
        <v>482</v>
      </c>
      <c r="J32" s="126" t="s">
        <v>483</v>
      </c>
      <c r="K32" s="129" t="s">
        <v>484</v>
      </c>
      <c r="L32" s="127"/>
      <c r="M32" s="127"/>
    </row>
    <row r="33" spans="1:13" ht="66">
      <c r="A33" s="418"/>
      <c r="B33" s="418"/>
      <c r="C33" s="420"/>
      <c r="D33" s="423"/>
      <c r="E33" s="423"/>
      <c r="F33" s="423"/>
      <c r="G33" s="423"/>
      <c r="H33" s="423"/>
      <c r="I33" s="420"/>
      <c r="J33" s="126" t="s">
        <v>485</v>
      </c>
      <c r="K33" s="129" t="s">
        <v>484</v>
      </c>
      <c r="L33" s="127"/>
      <c r="M33" s="127"/>
    </row>
    <row r="34" spans="1:13" ht="82.5">
      <c r="A34" s="418"/>
      <c r="B34" s="418"/>
      <c r="C34" s="420"/>
      <c r="D34" s="423"/>
      <c r="E34" s="423"/>
      <c r="F34" s="423"/>
      <c r="G34" s="423"/>
      <c r="H34" s="423"/>
      <c r="I34" s="420"/>
      <c r="J34" s="126" t="s">
        <v>486</v>
      </c>
      <c r="K34" s="129" t="s">
        <v>484</v>
      </c>
      <c r="L34" s="127"/>
      <c r="M34" s="127"/>
    </row>
    <row r="35" spans="1:13" ht="33">
      <c r="A35" s="418"/>
      <c r="B35" s="418"/>
      <c r="C35" s="420"/>
      <c r="D35" s="423"/>
      <c r="E35" s="423"/>
      <c r="F35" s="423"/>
      <c r="G35" s="423"/>
      <c r="H35" s="423"/>
      <c r="I35" s="423" t="s">
        <v>487</v>
      </c>
      <c r="J35" s="126" t="s">
        <v>488</v>
      </c>
      <c r="K35" s="126" t="s">
        <v>484</v>
      </c>
      <c r="L35" s="127"/>
      <c r="M35" s="127"/>
    </row>
    <row r="36" spans="1:13" ht="33">
      <c r="A36" s="418"/>
      <c r="B36" s="418"/>
      <c r="C36" s="420"/>
      <c r="D36" s="423"/>
      <c r="E36" s="423"/>
      <c r="F36" s="423"/>
      <c r="G36" s="423"/>
      <c r="H36" s="423"/>
      <c r="I36" s="423"/>
      <c r="J36" s="126" t="s">
        <v>489</v>
      </c>
      <c r="K36" s="126" t="s">
        <v>484</v>
      </c>
      <c r="L36" s="127"/>
      <c r="M36" s="127"/>
    </row>
    <row r="37" spans="1:13" ht="132">
      <c r="A37" s="418"/>
      <c r="B37" s="418"/>
      <c r="C37" s="420"/>
      <c r="D37" s="423"/>
      <c r="E37" s="423"/>
      <c r="F37" s="423"/>
      <c r="G37" s="423"/>
      <c r="H37" s="423"/>
      <c r="I37" s="423"/>
      <c r="J37" s="126" t="s">
        <v>490</v>
      </c>
      <c r="K37" s="126" t="s">
        <v>491</v>
      </c>
      <c r="L37" s="127"/>
      <c r="M37" s="127"/>
    </row>
    <row r="38" spans="1:13" ht="16.5">
      <c r="A38" s="418"/>
      <c r="B38" s="418"/>
      <c r="C38" s="420"/>
      <c r="D38" s="423"/>
      <c r="E38" s="423"/>
      <c r="F38" s="423"/>
      <c r="G38" s="423" t="s">
        <v>492</v>
      </c>
      <c r="H38" s="423" t="s">
        <v>493</v>
      </c>
      <c r="I38" s="419" t="s">
        <v>494</v>
      </c>
      <c r="J38" s="126" t="s">
        <v>495</v>
      </c>
      <c r="K38" s="126" t="s">
        <v>484</v>
      </c>
      <c r="L38" s="127"/>
      <c r="M38" s="127"/>
    </row>
    <row r="39" spans="1:13" ht="16.5">
      <c r="A39" s="418"/>
      <c r="B39" s="418"/>
      <c r="C39" s="420"/>
      <c r="D39" s="423"/>
      <c r="E39" s="423"/>
      <c r="F39" s="423"/>
      <c r="G39" s="423"/>
      <c r="H39" s="423"/>
      <c r="I39" s="421"/>
      <c r="J39" s="126" t="s">
        <v>496</v>
      </c>
      <c r="K39" s="126" t="s">
        <v>484</v>
      </c>
      <c r="L39" s="127"/>
      <c r="M39" s="127"/>
    </row>
    <row r="40" spans="1:13" ht="16.5">
      <c r="A40" s="418"/>
      <c r="B40" s="418"/>
      <c r="C40" s="420"/>
      <c r="D40" s="423"/>
      <c r="E40" s="423"/>
      <c r="F40" s="423"/>
      <c r="G40" s="423" t="s">
        <v>497</v>
      </c>
      <c r="H40" s="423" t="s">
        <v>498</v>
      </c>
      <c r="I40" s="423" t="s">
        <v>499</v>
      </c>
      <c r="J40" s="126" t="s">
        <v>500</v>
      </c>
      <c r="K40" s="126" t="s">
        <v>484</v>
      </c>
      <c r="L40" s="127"/>
      <c r="M40" s="127"/>
    </row>
    <row r="41" spans="1:13" ht="16.5">
      <c r="A41" s="418"/>
      <c r="B41" s="418"/>
      <c r="C41" s="420"/>
      <c r="D41" s="423"/>
      <c r="E41" s="423"/>
      <c r="F41" s="423"/>
      <c r="G41" s="423"/>
      <c r="H41" s="423"/>
      <c r="I41" s="423"/>
      <c r="J41" s="126" t="s">
        <v>501</v>
      </c>
      <c r="K41" s="126" t="s">
        <v>484</v>
      </c>
      <c r="L41" s="127"/>
      <c r="M41" s="127"/>
    </row>
    <row r="42" spans="1:13" ht="33">
      <c r="A42" s="127"/>
      <c r="B42" s="127"/>
      <c r="C42" s="421"/>
      <c r="D42" s="423"/>
      <c r="E42" s="423"/>
      <c r="F42" s="423"/>
      <c r="G42" s="423"/>
      <c r="H42" s="126" t="s">
        <v>502</v>
      </c>
      <c r="I42" s="126" t="s">
        <v>503</v>
      </c>
      <c r="J42" s="126" t="s">
        <v>504</v>
      </c>
      <c r="K42" s="126" t="s">
        <v>484</v>
      </c>
      <c r="L42" s="127"/>
      <c r="M42" s="127"/>
    </row>
    <row r="43" spans="1:13">
      <c r="A43" s="127"/>
      <c r="B43" s="127"/>
      <c r="C43" s="127"/>
      <c r="D43" s="127"/>
      <c r="E43" s="127"/>
      <c r="F43" s="127"/>
      <c r="G43" s="127"/>
      <c r="H43" s="127"/>
      <c r="I43" s="127"/>
      <c r="J43" s="127"/>
      <c r="K43" s="127"/>
      <c r="L43" s="127"/>
      <c r="M43" s="127"/>
    </row>
    <row r="44" spans="1:13">
      <c r="A44" s="127"/>
      <c r="B44" s="127"/>
      <c r="C44" s="127"/>
      <c r="D44" s="127"/>
      <c r="E44" s="127"/>
      <c r="F44" s="127"/>
      <c r="G44" s="127"/>
      <c r="H44" s="127"/>
      <c r="I44" s="127"/>
      <c r="J44" s="127"/>
      <c r="K44" s="127"/>
      <c r="L44" s="127"/>
      <c r="M44" s="127"/>
    </row>
    <row r="45" spans="1:13">
      <c r="A45" s="127"/>
      <c r="B45" s="127"/>
      <c r="C45" s="127"/>
      <c r="D45" s="127"/>
      <c r="E45" s="127"/>
      <c r="F45" s="127"/>
      <c r="G45" s="127"/>
      <c r="H45" s="127"/>
      <c r="I45" s="127"/>
      <c r="J45" s="127"/>
      <c r="K45" s="127"/>
      <c r="L45" s="127"/>
      <c r="M45" s="127"/>
    </row>
    <row r="46" spans="1:13">
      <c r="A46" s="127"/>
      <c r="B46" s="127"/>
      <c r="C46" s="127"/>
      <c r="D46" s="127"/>
      <c r="E46" s="127"/>
      <c r="F46" s="127"/>
      <c r="G46" s="127"/>
      <c r="H46" s="127"/>
      <c r="I46" s="127"/>
      <c r="J46" s="127"/>
      <c r="K46" s="127"/>
      <c r="L46" s="127"/>
      <c r="M46" s="127"/>
    </row>
    <row r="47" spans="1:13">
      <c r="A47" s="127"/>
      <c r="B47" s="127"/>
      <c r="C47" s="127"/>
      <c r="D47" s="127"/>
      <c r="E47" s="127"/>
      <c r="F47" s="127"/>
      <c r="G47" s="127"/>
      <c r="H47" s="127"/>
      <c r="I47" s="127"/>
      <c r="J47" s="127"/>
      <c r="K47" s="127"/>
      <c r="L47" s="127"/>
      <c r="M47" s="127"/>
    </row>
    <row r="48" spans="1:13">
      <c r="A48" s="127"/>
      <c r="B48" s="127"/>
      <c r="C48" s="127"/>
      <c r="D48" s="127"/>
      <c r="E48" s="127"/>
      <c r="F48" s="127"/>
      <c r="G48" s="127"/>
      <c r="H48" s="127"/>
      <c r="I48" s="127"/>
      <c r="J48" s="127"/>
      <c r="K48" s="127"/>
      <c r="L48" s="127"/>
      <c r="M48" s="127"/>
    </row>
    <row r="49" spans="1:13">
      <c r="A49" s="127"/>
      <c r="B49" s="127"/>
      <c r="C49" s="127"/>
      <c r="D49" s="127"/>
      <c r="E49" s="127"/>
      <c r="F49" s="127"/>
      <c r="G49" s="127"/>
      <c r="H49" s="127"/>
      <c r="I49" s="127"/>
      <c r="J49" s="127"/>
      <c r="K49" s="127"/>
      <c r="L49" s="127"/>
      <c r="M49" s="127"/>
    </row>
    <row r="50" spans="1:13">
      <c r="A50" s="127"/>
      <c r="B50" s="127"/>
      <c r="C50" s="127"/>
      <c r="D50" s="127"/>
      <c r="E50" s="127"/>
      <c r="F50" s="127"/>
      <c r="G50" s="127"/>
      <c r="H50" s="127"/>
      <c r="I50" s="127"/>
      <c r="J50" s="127"/>
      <c r="K50" s="127"/>
      <c r="L50" s="127"/>
      <c r="M50" s="127"/>
    </row>
    <row r="51" spans="1:13">
      <c r="A51" s="127"/>
      <c r="B51" s="127"/>
      <c r="C51" s="127"/>
      <c r="D51" s="127"/>
      <c r="E51" s="127"/>
      <c r="F51" s="127"/>
      <c r="G51" s="127"/>
      <c r="H51" s="127"/>
      <c r="I51" s="127"/>
      <c r="J51" s="127"/>
      <c r="K51" s="127"/>
      <c r="L51" s="127"/>
      <c r="M51" s="127"/>
    </row>
    <row r="52" spans="1:13">
      <c r="A52" s="127"/>
      <c r="B52" s="127"/>
      <c r="C52" s="127"/>
      <c r="D52" s="127"/>
      <c r="E52" s="127"/>
      <c r="F52" s="127"/>
      <c r="G52" s="127"/>
      <c r="H52" s="127"/>
      <c r="I52" s="127"/>
      <c r="J52" s="127"/>
      <c r="K52" s="127"/>
      <c r="L52" s="127"/>
      <c r="M52" s="127"/>
    </row>
    <row r="53" spans="1:13">
      <c r="A53" s="127"/>
      <c r="B53" s="127"/>
      <c r="C53" s="127"/>
      <c r="D53" s="127"/>
      <c r="E53" s="127"/>
      <c r="F53" s="127"/>
      <c r="G53" s="127"/>
      <c r="H53" s="127"/>
      <c r="I53" s="127"/>
      <c r="J53" s="127"/>
      <c r="K53" s="127"/>
      <c r="L53" s="127"/>
      <c r="M53" s="127"/>
    </row>
    <row r="54" spans="1:13">
      <c r="A54" s="127"/>
      <c r="B54" s="127"/>
      <c r="C54" s="127"/>
      <c r="D54" s="127"/>
      <c r="E54" s="127"/>
      <c r="F54" s="127"/>
      <c r="G54" s="127"/>
      <c r="H54" s="127"/>
      <c r="I54" s="127"/>
      <c r="J54" s="127"/>
      <c r="K54" s="127"/>
      <c r="L54" s="127"/>
      <c r="M54" s="127"/>
    </row>
    <row r="55" spans="1:13">
      <c r="A55" s="127"/>
      <c r="B55" s="127"/>
      <c r="C55" s="127"/>
      <c r="D55" s="127"/>
      <c r="E55" s="127"/>
      <c r="F55" s="127"/>
      <c r="G55" s="127"/>
      <c r="H55" s="127"/>
      <c r="I55" s="127"/>
      <c r="J55" s="127"/>
      <c r="K55" s="127"/>
      <c r="L55" s="127"/>
      <c r="M55" s="127"/>
    </row>
    <row r="56" spans="1:13">
      <c r="A56" s="127"/>
      <c r="B56" s="127"/>
      <c r="C56" s="127"/>
      <c r="D56" s="127"/>
      <c r="E56" s="127"/>
      <c r="F56" s="127"/>
      <c r="G56" s="127"/>
      <c r="H56" s="127"/>
      <c r="I56" s="127"/>
      <c r="J56" s="127"/>
      <c r="K56" s="127"/>
      <c r="L56" s="127"/>
      <c r="M56" s="127"/>
    </row>
    <row r="57" spans="1:13">
      <c r="A57" s="127"/>
      <c r="B57" s="127"/>
      <c r="C57" s="127"/>
      <c r="D57" s="127"/>
      <c r="E57" s="127"/>
      <c r="F57" s="127"/>
      <c r="G57" s="127"/>
      <c r="H57" s="127"/>
      <c r="I57" s="127"/>
      <c r="J57" s="127"/>
      <c r="K57" s="127"/>
      <c r="L57" s="127"/>
      <c r="M57" s="127"/>
    </row>
    <row r="58" spans="1:13">
      <c r="A58" s="127"/>
      <c r="B58" s="127"/>
      <c r="C58" s="127"/>
      <c r="D58" s="127"/>
      <c r="E58" s="127"/>
      <c r="F58" s="127"/>
      <c r="G58" s="127"/>
      <c r="H58" s="127"/>
      <c r="I58" s="127"/>
      <c r="J58" s="127"/>
      <c r="K58" s="127"/>
      <c r="L58" s="127"/>
      <c r="M58" s="127"/>
    </row>
    <row r="59" spans="1:13">
      <c r="A59" s="127"/>
      <c r="B59" s="127"/>
      <c r="C59" s="127"/>
      <c r="D59" s="127"/>
      <c r="E59" s="127"/>
      <c r="F59" s="127"/>
      <c r="G59" s="127"/>
      <c r="H59" s="127"/>
      <c r="I59" s="127"/>
      <c r="J59" s="127"/>
      <c r="K59" s="127"/>
      <c r="L59" s="127"/>
      <c r="M59" s="127"/>
    </row>
    <row r="60" spans="1:13">
      <c r="A60" s="127"/>
      <c r="B60" s="127"/>
      <c r="C60" s="127"/>
      <c r="D60" s="127"/>
      <c r="E60" s="127"/>
      <c r="F60" s="127"/>
      <c r="G60" s="127"/>
      <c r="H60" s="127"/>
      <c r="I60" s="127"/>
      <c r="J60" s="127"/>
      <c r="K60" s="127"/>
      <c r="L60" s="127"/>
      <c r="M60" s="127"/>
    </row>
    <row r="61" spans="1:13">
      <c r="A61" s="127"/>
      <c r="B61" s="127"/>
      <c r="C61" s="127"/>
      <c r="D61" s="127"/>
      <c r="E61" s="127"/>
      <c r="F61" s="127"/>
      <c r="G61" s="127"/>
      <c r="H61" s="127"/>
      <c r="I61" s="127"/>
      <c r="J61" s="127"/>
      <c r="K61" s="127"/>
      <c r="L61" s="127"/>
      <c r="M61" s="127"/>
    </row>
    <row r="62" spans="1:13">
      <c r="A62" s="127"/>
      <c r="B62" s="127"/>
      <c r="C62" s="127"/>
      <c r="D62" s="127"/>
      <c r="E62" s="127"/>
      <c r="F62" s="127"/>
      <c r="G62" s="127"/>
      <c r="H62" s="127"/>
      <c r="I62" s="127"/>
      <c r="J62" s="127"/>
      <c r="K62" s="127"/>
      <c r="L62" s="127"/>
      <c r="M62" s="127"/>
    </row>
    <row r="63" spans="1:13">
      <c r="A63" s="127"/>
      <c r="B63" s="127"/>
      <c r="C63" s="127"/>
      <c r="D63" s="127"/>
      <c r="E63" s="127"/>
      <c r="F63" s="127"/>
      <c r="G63" s="127"/>
      <c r="H63" s="127"/>
      <c r="I63" s="127"/>
      <c r="J63" s="127"/>
      <c r="K63" s="127"/>
      <c r="L63" s="127"/>
      <c r="M63" s="127"/>
    </row>
    <row r="64" spans="1:13">
      <c r="A64" s="127"/>
      <c r="B64" s="127"/>
      <c r="C64" s="127"/>
      <c r="D64" s="127"/>
      <c r="E64" s="127"/>
      <c r="F64" s="127"/>
      <c r="G64" s="127"/>
      <c r="H64" s="127"/>
      <c r="I64" s="127"/>
      <c r="J64" s="127"/>
      <c r="K64" s="127"/>
      <c r="L64" s="127"/>
      <c r="M64" s="127"/>
    </row>
    <row r="65" spans="1:13">
      <c r="A65" s="127"/>
      <c r="B65" s="127"/>
      <c r="C65" s="127"/>
      <c r="D65" s="127"/>
      <c r="E65" s="127"/>
      <c r="F65" s="127"/>
      <c r="G65" s="127"/>
      <c r="H65" s="127"/>
      <c r="I65" s="127"/>
      <c r="J65" s="127"/>
      <c r="K65" s="127"/>
      <c r="L65" s="127"/>
      <c r="M65" s="127"/>
    </row>
    <row r="66" spans="1:13">
      <c r="A66" s="127"/>
      <c r="B66" s="127"/>
      <c r="C66" s="127"/>
      <c r="D66" s="127"/>
      <c r="E66" s="127"/>
      <c r="F66" s="127"/>
      <c r="G66" s="127"/>
      <c r="H66" s="127"/>
      <c r="I66" s="127"/>
      <c r="J66" s="127"/>
      <c r="K66" s="127"/>
      <c r="L66" s="127"/>
      <c r="M66" s="127"/>
    </row>
    <row r="67" spans="1:13">
      <c r="A67" s="127"/>
      <c r="B67" s="127"/>
      <c r="C67" s="127"/>
      <c r="D67" s="127"/>
      <c r="E67" s="127"/>
      <c r="F67" s="127"/>
      <c r="G67" s="127"/>
      <c r="H67" s="127"/>
      <c r="I67" s="127"/>
      <c r="J67" s="127"/>
      <c r="K67" s="127"/>
      <c r="L67" s="127"/>
      <c r="M67" s="127"/>
    </row>
    <row r="68" spans="1:13">
      <c r="A68" s="127"/>
      <c r="B68" s="127"/>
      <c r="C68" s="127"/>
      <c r="D68" s="127"/>
      <c r="E68" s="127"/>
      <c r="F68" s="127"/>
      <c r="G68" s="127"/>
      <c r="H68" s="127"/>
      <c r="I68" s="127"/>
      <c r="J68" s="127"/>
      <c r="K68" s="127"/>
      <c r="L68" s="127"/>
      <c r="M68" s="127"/>
    </row>
    <row r="69" spans="1:13">
      <c r="A69" s="127"/>
      <c r="B69" s="127"/>
      <c r="C69" s="127"/>
      <c r="D69" s="127"/>
      <c r="E69" s="127"/>
      <c r="F69" s="127"/>
      <c r="G69" s="127"/>
      <c r="H69" s="127"/>
      <c r="I69" s="127"/>
      <c r="J69" s="127"/>
      <c r="K69" s="127"/>
      <c r="L69" s="127"/>
      <c r="M69" s="127"/>
    </row>
  </sheetData>
  <mergeCells count="107">
    <mergeCell ref="R7:R8"/>
    <mergeCell ref="R10:R11"/>
    <mergeCell ref="R13:R14"/>
    <mergeCell ref="R15:R17"/>
    <mergeCell ref="R19:R20"/>
    <mergeCell ref="S4:S20"/>
    <mergeCell ref="T4:T20"/>
    <mergeCell ref="U4:U20"/>
    <mergeCell ref="P7:P8"/>
    <mergeCell ref="P10:P11"/>
    <mergeCell ref="P13:P14"/>
    <mergeCell ref="P16:P17"/>
    <mergeCell ref="P19:P20"/>
    <mergeCell ref="Q7:Q8"/>
    <mergeCell ref="Q10:Q11"/>
    <mergeCell ref="Q13:Q14"/>
    <mergeCell ref="Q15:Q17"/>
    <mergeCell ref="Q19:Q20"/>
    <mergeCell ref="M18:M20"/>
    <mergeCell ref="N4:N5"/>
    <mergeCell ref="N6:N8"/>
    <mergeCell ref="N9:N11"/>
    <mergeCell ref="N12:N14"/>
    <mergeCell ref="N15:N17"/>
    <mergeCell ref="N18:N20"/>
    <mergeCell ref="O7:O8"/>
    <mergeCell ref="O10:O11"/>
    <mergeCell ref="O13:O14"/>
    <mergeCell ref="O16:O17"/>
    <mergeCell ref="O19:O20"/>
    <mergeCell ref="L4:L5"/>
    <mergeCell ref="L6:L8"/>
    <mergeCell ref="L9:L11"/>
    <mergeCell ref="L12:L14"/>
    <mergeCell ref="L15:L17"/>
    <mergeCell ref="M4:M5"/>
    <mergeCell ref="M6:M8"/>
    <mergeCell ref="M9:M11"/>
    <mergeCell ref="M12:M14"/>
    <mergeCell ref="M15:M17"/>
    <mergeCell ref="I38:I39"/>
    <mergeCell ref="I40:I41"/>
    <mergeCell ref="J4:J5"/>
    <mergeCell ref="J6:J8"/>
    <mergeCell ref="J9:J11"/>
    <mergeCell ref="J12:J14"/>
    <mergeCell ref="J15:J17"/>
    <mergeCell ref="K4:K5"/>
    <mergeCell ref="K6:K8"/>
    <mergeCell ref="K9:K11"/>
    <mergeCell ref="K12:K14"/>
    <mergeCell ref="K15:K17"/>
    <mergeCell ref="K24:K26"/>
    <mergeCell ref="I4:I5"/>
    <mergeCell ref="I6:I8"/>
    <mergeCell ref="I9:I11"/>
    <mergeCell ref="I12:I14"/>
    <mergeCell ref="I15:I17"/>
    <mergeCell ref="I24:I26"/>
    <mergeCell ref="I28:I30"/>
    <mergeCell ref="I32:I34"/>
    <mergeCell ref="I35:I37"/>
    <mergeCell ref="H4:H5"/>
    <mergeCell ref="H6:H8"/>
    <mergeCell ref="H9:H11"/>
    <mergeCell ref="H12:H14"/>
    <mergeCell ref="H15:H17"/>
    <mergeCell ref="H28:H31"/>
    <mergeCell ref="H32:H37"/>
    <mergeCell ref="H38:H39"/>
    <mergeCell ref="H40:H41"/>
    <mergeCell ref="F4:F20"/>
    <mergeCell ref="F24:F26"/>
    <mergeCell ref="F27:F42"/>
    <mergeCell ref="G4:G5"/>
    <mergeCell ref="G6:G8"/>
    <mergeCell ref="G9:G11"/>
    <mergeCell ref="G12:G14"/>
    <mergeCell ref="G15:G17"/>
    <mergeCell ref="G28:G31"/>
    <mergeCell ref="G32:G37"/>
    <mergeCell ref="G38:G39"/>
    <mergeCell ref="G40:G42"/>
    <mergeCell ref="A1:U1"/>
    <mergeCell ref="E2:R2"/>
    <mergeCell ref="S2:U2"/>
    <mergeCell ref="C22:K22"/>
    <mergeCell ref="A4:A20"/>
    <mergeCell ref="A23:A41"/>
    <mergeCell ref="B2:B3"/>
    <mergeCell ref="B4:B20"/>
    <mergeCell ref="B23:B41"/>
    <mergeCell ref="C2:C3"/>
    <mergeCell ref="C4:C20"/>
    <mergeCell ref="C24:C42"/>
    <mergeCell ref="D2:D3"/>
    <mergeCell ref="D4:D17"/>
    <mergeCell ref="D18:D20"/>
    <mergeCell ref="D24:D42"/>
    <mergeCell ref="E4:E5"/>
    <mergeCell ref="E6:E8"/>
    <mergeCell ref="E9:E11"/>
    <mergeCell ref="E12:E14"/>
    <mergeCell ref="E15:E17"/>
    <mergeCell ref="E18:E20"/>
    <mergeCell ref="E24:E26"/>
    <mergeCell ref="E27:E42"/>
  </mergeCells>
  <phoneticPr fontId="59" type="noConversion"/>
  <pageMargins left="0.7" right="0.7" top="0.75" bottom="0.75" header="0.3" footer="0.3"/>
  <drawing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XFC7"/>
  <sheetViews>
    <sheetView topLeftCell="A3" workbookViewId="0">
      <selection activeCell="A14" sqref="A14:F19"/>
    </sheetView>
  </sheetViews>
  <sheetFormatPr defaultColWidth="9" defaultRowHeight="14"/>
  <cols>
    <col min="1" max="1" width="17.4140625" style="111" customWidth="1"/>
    <col min="2" max="2" width="11.08203125" style="111" customWidth="1"/>
    <col min="3" max="3" width="36.6640625" style="111" customWidth="1"/>
    <col min="4" max="4" width="28.08203125" style="111" customWidth="1"/>
    <col min="5" max="16383" width="9" style="111"/>
  </cols>
  <sheetData>
    <row r="1" spans="1:4" s="111" customFormat="1" ht="30" customHeight="1">
      <c r="A1" s="435" t="s">
        <v>505</v>
      </c>
      <c r="B1" s="435"/>
      <c r="C1" s="435"/>
      <c r="D1" s="435"/>
    </row>
    <row r="2" spans="1:4" s="111" customFormat="1" ht="25.25" customHeight="1">
      <c r="A2" s="112" t="s">
        <v>506</v>
      </c>
      <c r="B2" s="112" t="s">
        <v>507</v>
      </c>
      <c r="C2" s="113" t="s">
        <v>508</v>
      </c>
      <c r="D2" s="113" t="s">
        <v>509</v>
      </c>
    </row>
    <row r="3" spans="1:4" s="111" customFormat="1" ht="42" customHeight="1">
      <c r="A3" s="436" t="s">
        <v>510</v>
      </c>
      <c r="B3" s="114" t="s">
        <v>511</v>
      </c>
      <c r="C3" s="115" t="s">
        <v>512</v>
      </c>
      <c r="D3" s="116" t="s">
        <v>513</v>
      </c>
    </row>
    <row r="4" spans="1:4" s="111" customFormat="1" ht="33">
      <c r="A4" s="436"/>
      <c r="B4" s="117" t="s">
        <v>514</v>
      </c>
      <c r="C4" s="115" t="s">
        <v>515</v>
      </c>
      <c r="D4" s="116" t="s">
        <v>516</v>
      </c>
    </row>
    <row r="5" spans="1:4" s="111" customFormat="1" ht="33">
      <c r="A5" s="437" t="s">
        <v>517</v>
      </c>
      <c r="B5" s="117" t="s">
        <v>518</v>
      </c>
      <c r="C5" s="115" t="s">
        <v>519</v>
      </c>
      <c r="D5" s="116" t="s">
        <v>520</v>
      </c>
    </row>
    <row r="6" spans="1:4" s="111" customFormat="1" ht="33">
      <c r="A6" s="437"/>
      <c r="B6" s="117" t="s">
        <v>521</v>
      </c>
      <c r="C6" s="115" t="s">
        <v>522</v>
      </c>
      <c r="D6" s="116" t="s">
        <v>523</v>
      </c>
    </row>
    <row r="7" spans="1:4" s="111" customFormat="1" ht="66">
      <c r="A7" s="118" t="s">
        <v>524</v>
      </c>
      <c r="B7" s="117" t="s">
        <v>525</v>
      </c>
      <c r="C7" s="115" t="s">
        <v>526</v>
      </c>
      <c r="D7" s="116" t="s">
        <v>527</v>
      </c>
    </row>
  </sheetData>
  <mergeCells count="3">
    <mergeCell ref="A1:D1"/>
    <mergeCell ref="A3:A4"/>
    <mergeCell ref="A5:A6"/>
  </mergeCells>
  <phoneticPr fontId="59" type="noConversion"/>
  <pageMargins left="0.75138888888888899" right="0.75138888888888899" top="1" bottom="1" header="0.5" footer="0.5"/>
  <pageSetup paperSize="8" orientation="landscape"/>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1:G11"/>
  <sheetViews>
    <sheetView workbookViewId="0">
      <selection activeCell="D9" sqref="D9"/>
    </sheetView>
  </sheetViews>
  <sheetFormatPr defaultColWidth="8.9140625" defaultRowHeight="14"/>
  <cols>
    <col min="2" max="2" width="15.4140625" customWidth="1"/>
    <col min="3" max="3" width="37.33203125" customWidth="1"/>
    <col min="4" max="4" width="13" customWidth="1"/>
    <col min="5" max="5" width="14.9140625" customWidth="1"/>
    <col min="6" max="6" width="19.6640625" customWidth="1"/>
    <col min="7" max="7" width="33" customWidth="1"/>
  </cols>
  <sheetData>
    <row r="1" spans="2:7" ht="15.25" customHeight="1"/>
    <row r="2" spans="2:7" ht="20.399999999999999" customHeight="1">
      <c r="B2" s="438" t="s">
        <v>528</v>
      </c>
      <c r="C2" s="439"/>
      <c r="D2" s="439"/>
      <c r="E2" s="439"/>
      <c r="F2" s="439"/>
      <c r="G2" s="440"/>
    </row>
    <row r="3" spans="2:7" ht="16.5">
      <c r="B3" s="442" t="s">
        <v>529</v>
      </c>
      <c r="C3" s="441" t="s">
        <v>530</v>
      </c>
      <c r="D3" s="441"/>
      <c r="E3" s="441"/>
      <c r="F3" s="441"/>
      <c r="G3" s="445" t="s">
        <v>531</v>
      </c>
    </row>
    <row r="4" spans="2:7" ht="16.5">
      <c r="B4" s="442"/>
      <c r="C4" s="441" t="s">
        <v>532</v>
      </c>
      <c r="D4" s="441" t="s">
        <v>533</v>
      </c>
      <c r="E4" s="441"/>
      <c r="F4" s="441"/>
      <c r="G4" s="445"/>
    </row>
    <row r="5" spans="2:7" ht="16.5">
      <c r="B5" s="442"/>
      <c r="C5" s="441"/>
      <c r="D5" s="107" t="s">
        <v>534</v>
      </c>
      <c r="E5" s="107" t="s">
        <v>535</v>
      </c>
      <c r="F5" s="441" t="s">
        <v>536</v>
      </c>
      <c r="G5" s="445"/>
    </row>
    <row r="6" spans="2:7" ht="16.5">
      <c r="B6" s="442"/>
      <c r="C6" s="441"/>
      <c r="D6" s="107" t="s">
        <v>537</v>
      </c>
      <c r="E6" s="107" t="s">
        <v>537</v>
      </c>
      <c r="F6" s="441"/>
      <c r="G6" s="445"/>
    </row>
    <row r="7" spans="2:7" ht="19" customHeight="1">
      <c r="B7" s="108" t="s">
        <v>538</v>
      </c>
      <c r="C7" s="109" t="s">
        <v>539</v>
      </c>
      <c r="D7" s="110">
        <v>1000</v>
      </c>
      <c r="E7" s="110">
        <v>1000</v>
      </c>
      <c r="F7" s="110" t="s">
        <v>540</v>
      </c>
      <c r="G7" s="110" t="s">
        <v>541</v>
      </c>
    </row>
    <row r="8" spans="2:7" ht="59" customHeight="1">
      <c r="B8" s="443" t="s">
        <v>542</v>
      </c>
      <c r="C8" s="109" t="s">
        <v>543</v>
      </c>
      <c r="D8" s="110">
        <v>14000</v>
      </c>
      <c r="E8" s="444" t="s">
        <v>544</v>
      </c>
      <c r="F8" s="110" t="s">
        <v>83</v>
      </c>
      <c r="G8" s="446" t="s">
        <v>545</v>
      </c>
    </row>
    <row r="9" spans="2:7" ht="72.5">
      <c r="B9" s="443"/>
      <c r="C9" s="109" t="s">
        <v>546</v>
      </c>
      <c r="D9" s="110">
        <v>2000</v>
      </c>
      <c r="E9" s="444"/>
      <c r="F9" s="110" t="s">
        <v>83</v>
      </c>
      <c r="G9" s="447"/>
    </row>
    <row r="10" spans="2:7">
      <c r="B10" s="448" t="s">
        <v>547</v>
      </c>
      <c r="C10" s="449"/>
      <c r="D10" s="449"/>
      <c r="E10" s="449"/>
      <c r="F10" s="449"/>
      <c r="G10" s="450"/>
    </row>
    <row r="11" spans="2:7" ht="62" customHeight="1">
      <c r="B11" s="451"/>
      <c r="C11" s="452"/>
      <c r="D11" s="452"/>
      <c r="E11" s="452"/>
      <c r="F11" s="452"/>
      <c r="G11" s="453"/>
    </row>
  </sheetData>
  <mergeCells count="11">
    <mergeCell ref="B10:G11"/>
    <mergeCell ref="B2:G2"/>
    <mergeCell ref="C3:F3"/>
    <mergeCell ref="D4:F4"/>
    <mergeCell ref="B3:B6"/>
    <mergeCell ref="B8:B9"/>
    <mergeCell ref="C4:C6"/>
    <mergeCell ref="E8:E9"/>
    <mergeCell ref="F5:F6"/>
    <mergeCell ref="G3:G6"/>
    <mergeCell ref="G8:G9"/>
  </mergeCells>
  <phoneticPr fontId="59" type="noConversion"/>
  <pageMargins left="0.75" right="0.75" top="1" bottom="1" header="0.5" footer="0.5"/>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58"/>
  <sheetViews>
    <sheetView showGridLines="0" zoomScale="70" zoomScaleNormal="70" workbookViewId="0">
      <selection activeCell="B37" sqref="B37:K38"/>
    </sheetView>
  </sheetViews>
  <sheetFormatPr defaultColWidth="8.4140625" defaultRowHeight="14"/>
  <cols>
    <col min="2" max="2" width="31.08203125" style="41" customWidth="1"/>
    <col min="3" max="3" width="14.5" style="41" customWidth="1"/>
    <col min="4" max="4" width="14.08203125" style="41" customWidth="1"/>
    <col min="5" max="5" width="14.4140625" style="41" customWidth="1"/>
    <col min="6" max="6" width="14" style="41" customWidth="1"/>
    <col min="7" max="9" width="25.58203125" style="41" customWidth="1"/>
    <col min="10" max="10" width="17.5" style="41" customWidth="1"/>
    <col min="11" max="11" width="24.6640625" style="41" customWidth="1"/>
    <col min="12" max="12" width="22" style="41" customWidth="1"/>
    <col min="13" max="13" width="25.33203125" style="41" customWidth="1"/>
    <col min="14" max="14" width="25.4140625" style="41" customWidth="1"/>
    <col min="15" max="16384" width="8.4140625" style="41"/>
  </cols>
  <sheetData>
    <row r="1" spans="2:10" s="40" customFormat="1" ht="34" customHeight="1">
      <c r="B1" s="454" t="s">
        <v>548</v>
      </c>
      <c r="C1" s="454"/>
      <c r="D1" s="454"/>
      <c r="E1" s="454"/>
      <c r="F1" s="454"/>
      <c r="G1" s="454"/>
      <c r="H1" s="454"/>
      <c r="I1" s="454"/>
    </row>
    <row r="2" spans="2:10" ht="22.5">
      <c r="B2" s="42" t="s">
        <v>549</v>
      </c>
    </row>
    <row r="3" spans="2:10">
      <c r="B3" s="226" t="s">
        <v>240</v>
      </c>
      <c r="C3" s="309"/>
      <c r="D3" s="309"/>
      <c r="E3" s="227"/>
      <c r="F3"/>
      <c r="G3" s="282" t="s">
        <v>241</v>
      </c>
      <c r="H3" s="282"/>
      <c r="I3" s="282"/>
      <c r="J3"/>
    </row>
    <row r="4" spans="2:10">
      <c r="B4" s="228"/>
      <c r="C4" s="310"/>
      <c r="D4" s="310"/>
      <c r="E4" s="229"/>
      <c r="F4"/>
      <c r="G4" s="282"/>
      <c r="H4" s="282"/>
      <c r="I4" s="282"/>
      <c r="J4"/>
    </row>
    <row r="5" spans="2:10">
      <c r="B5" s="311"/>
      <c r="C5" s="312"/>
      <c r="D5" s="312"/>
      <c r="E5" s="313"/>
      <c r="F5"/>
      <c r="G5" s="282"/>
      <c r="H5" s="282"/>
      <c r="I5" s="282"/>
      <c r="J5"/>
    </row>
    <row r="6" spans="2:10" ht="33">
      <c r="B6" s="88" t="s">
        <v>242</v>
      </c>
      <c r="C6" s="89" t="s">
        <v>243</v>
      </c>
      <c r="D6" s="89" t="s">
        <v>244</v>
      </c>
      <c r="E6" s="90" t="s">
        <v>245</v>
      </c>
      <c r="F6"/>
      <c r="G6" s="91" t="s">
        <v>246</v>
      </c>
      <c r="H6" s="91" t="s">
        <v>247</v>
      </c>
      <c r="I6" s="91" t="s">
        <v>248</v>
      </c>
    </row>
    <row r="7" spans="2:10" ht="16.5">
      <c r="B7" s="92">
        <v>5</v>
      </c>
      <c r="C7" s="93">
        <v>8</v>
      </c>
      <c r="D7" s="93">
        <v>6</v>
      </c>
      <c r="E7" s="298" t="s">
        <v>249</v>
      </c>
      <c r="F7"/>
      <c r="G7" s="300" t="s">
        <v>250</v>
      </c>
      <c r="H7" s="300">
        <v>4</v>
      </c>
      <c r="I7" s="300">
        <v>2.8</v>
      </c>
    </row>
    <row r="8" spans="2:10" ht="16.5">
      <c r="B8" s="92">
        <v>10</v>
      </c>
      <c r="C8" s="93">
        <v>13</v>
      </c>
      <c r="D8" s="93">
        <v>10</v>
      </c>
      <c r="E8" s="298"/>
      <c r="F8"/>
      <c r="G8" s="301"/>
      <c r="H8" s="301"/>
      <c r="I8" s="301"/>
    </row>
    <row r="9" spans="2:10" ht="16.5">
      <c r="B9" s="92">
        <v>20</v>
      </c>
      <c r="C9" s="93">
        <v>25</v>
      </c>
      <c r="D9" s="93">
        <v>19</v>
      </c>
      <c r="E9" s="298"/>
      <c r="F9"/>
      <c r="G9" s="300" t="s">
        <v>251</v>
      </c>
      <c r="H9" s="300">
        <v>4</v>
      </c>
      <c r="I9" s="300">
        <v>2.4</v>
      </c>
    </row>
    <row r="10" spans="2:10" ht="16.5">
      <c r="B10" s="92">
        <v>30</v>
      </c>
      <c r="C10" s="93">
        <v>39</v>
      </c>
      <c r="D10" s="93">
        <v>29</v>
      </c>
      <c r="E10" s="298"/>
      <c r="F10"/>
      <c r="G10" s="301"/>
      <c r="H10" s="301"/>
      <c r="I10" s="301"/>
    </row>
    <row r="11" spans="2:10" ht="16.5">
      <c r="B11" s="92">
        <v>50</v>
      </c>
      <c r="C11" s="93">
        <v>65</v>
      </c>
      <c r="D11" s="93">
        <v>49</v>
      </c>
      <c r="E11" s="298"/>
      <c r="F11"/>
      <c r="G11" s="300" t="s">
        <v>252</v>
      </c>
      <c r="H11" s="300">
        <v>4</v>
      </c>
      <c r="I11" s="300">
        <v>2</v>
      </c>
    </row>
    <row r="12" spans="2:10" ht="16.5">
      <c r="B12" s="94">
        <v>80</v>
      </c>
      <c r="C12" s="95">
        <v>92</v>
      </c>
      <c r="D12" s="95">
        <v>69</v>
      </c>
      <c r="E12" s="299"/>
      <c r="F12"/>
      <c r="G12" s="301"/>
      <c r="H12" s="301"/>
      <c r="I12" s="301"/>
    </row>
    <row r="13" spans="2:10" ht="168" customHeight="1">
      <c r="B13" s="221" t="s">
        <v>253</v>
      </c>
      <c r="C13" s="290"/>
      <c r="D13" s="290"/>
      <c r="E13" s="222"/>
      <c r="F13"/>
      <c r="G13" s="291" t="s">
        <v>254</v>
      </c>
      <c r="H13" s="292"/>
      <c r="I13" s="292"/>
      <c r="J13" s="106"/>
    </row>
    <row r="14" spans="2:10" ht="22" customHeight="1">
      <c r="B14"/>
      <c r="C14"/>
      <c r="D14"/>
      <c r="E14"/>
      <c r="F14"/>
    </row>
    <row r="15" spans="2:10" ht="22.5">
      <c r="B15" s="42" t="s">
        <v>550</v>
      </c>
      <c r="C15"/>
      <c r="D15"/>
      <c r="E15"/>
      <c r="F15"/>
    </row>
    <row r="16" spans="2:10" ht="20">
      <c r="B16" s="329" t="s">
        <v>287</v>
      </c>
      <c r="C16" s="329"/>
      <c r="D16"/>
      <c r="E16"/>
      <c r="F16"/>
    </row>
    <row r="17" spans="2:11" ht="16.5">
      <c r="B17" s="96" t="s">
        <v>288</v>
      </c>
      <c r="C17" s="96" t="s">
        <v>289</v>
      </c>
      <c r="D17"/>
      <c r="E17"/>
      <c r="F17"/>
    </row>
    <row r="18" spans="2:11" ht="33">
      <c r="B18" s="97" t="s">
        <v>290</v>
      </c>
      <c r="C18" s="97" t="s">
        <v>291</v>
      </c>
      <c r="D18"/>
      <c r="E18"/>
      <c r="F18"/>
    </row>
    <row r="19" spans="2:11" ht="33">
      <c r="B19" s="97" t="s">
        <v>24</v>
      </c>
      <c r="C19" s="97" t="s">
        <v>291</v>
      </c>
      <c r="D19"/>
      <c r="E19"/>
      <c r="F19"/>
    </row>
    <row r="20" spans="2:11">
      <c r="B20"/>
      <c r="C20"/>
      <c r="D20"/>
      <c r="E20"/>
      <c r="F20"/>
    </row>
    <row r="21" spans="2:11">
      <c r="B21"/>
      <c r="C21"/>
      <c r="D21"/>
      <c r="E21"/>
      <c r="F21"/>
    </row>
    <row r="22" spans="2:11">
      <c r="B22"/>
      <c r="C22"/>
      <c r="D22"/>
      <c r="E22"/>
      <c r="F22"/>
    </row>
    <row r="23" spans="2:11">
      <c r="B23"/>
      <c r="C23"/>
      <c r="D23"/>
      <c r="E23"/>
      <c r="F23"/>
    </row>
    <row r="24" spans="2:11">
      <c r="B24"/>
      <c r="C24"/>
      <c r="D24"/>
      <c r="E24"/>
      <c r="F24"/>
    </row>
    <row r="25" spans="2:11">
      <c r="B25"/>
      <c r="C25"/>
      <c r="D25"/>
      <c r="E25"/>
      <c r="F25"/>
    </row>
    <row r="26" spans="2:11">
      <c r="B26"/>
      <c r="C26"/>
      <c r="D26"/>
      <c r="E26"/>
      <c r="F26"/>
    </row>
    <row r="27" spans="2:11" ht="22.5">
      <c r="B27" s="42" t="s">
        <v>551</v>
      </c>
    </row>
    <row r="28" spans="2:11" ht="14.5">
      <c r="B28" s="340" t="s">
        <v>294</v>
      </c>
      <c r="C28" s="340" t="s">
        <v>295</v>
      </c>
      <c r="D28" s="333" t="s">
        <v>296</v>
      </c>
      <c r="E28" s="333"/>
      <c r="F28" s="333" t="s">
        <v>297</v>
      </c>
      <c r="G28" s="333" t="s">
        <v>243</v>
      </c>
      <c r="H28" s="366" t="s">
        <v>298</v>
      </c>
      <c r="I28" s="374" t="s">
        <v>5</v>
      </c>
      <c r="J28" s="375"/>
      <c r="K28" s="376"/>
    </row>
    <row r="29" spans="2:11" ht="14.5">
      <c r="B29" s="340"/>
      <c r="C29" s="340"/>
      <c r="D29" s="98" t="s">
        <v>300</v>
      </c>
      <c r="E29" s="98" t="s">
        <v>301</v>
      </c>
      <c r="F29" s="333"/>
      <c r="G29" s="333"/>
      <c r="H29" s="367"/>
      <c r="I29" s="377"/>
      <c r="J29" s="378"/>
      <c r="K29" s="379"/>
    </row>
    <row r="30" spans="2:11" ht="14.5">
      <c r="B30" s="341" t="s">
        <v>304</v>
      </c>
      <c r="C30" s="341" t="s">
        <v>305</v>
      </c>
      <c r="D30" s="341" t="s">
        <v>306</v>
      </c>
      <c r="E30" s="100" t="s">
        <v>307</v>
      </c>
      <c r="F30" s="63">
        <v>0.18</v>
      </c>
      <c r="G30" s="101">
        <v>600</v>
      </c>
      <c r="H30" s="102">
        <v>600</v>
      </c>
      <c r="I30" s="380" t="s">
        <v>308</v>
      </c>
      <c r="J30" s="381"/>
      <c r="K30" s="382"/>
    </row>
    <row r="31" spans="2:11" ht="14.5">
      <c r="B31" s="341"/>
      <c r="C31" s="341"/>
      <c r="D31" s="341"/>
      <c r="E31" s="100" t="s">
        <v>310</v>
      </c>
      <c r="F31" s="63">
        <v>0.2</v>
      </c>
      <c r="G31" s="101">
        <v>1000</v>
      </c>
      <c r="H31" s="102">
        <v>1000</v>
      </c>
      <c r="I31" s="349"/>
      <c r="J31" s="383"/>
      <c r="K31" s="384"/>
    </row>
    <row r="32" spans="2:11" ht="14.5">
      <c r="B32" s="341"/>
      <c r="C32" s="341"/>
      <c r="D32" s="341"/>
      <c r="E32" s="100" t="s">
        <v>311</v>
      </c>
      <c r="F32" s="63">
        <v>0.23</v>
      </c>
      <c r="G32" s="101">
        <v>2100</v>
      </c>
      <c r="H32" s="102">
        <v>2100</v>
      </c>
      <c r="I32" s="349"/>
      <c r="J32" s="383"/>
      <c r="K32" s="384"/>
    </row>
    <row r="33" spans="2:17" ht="14.5">
      <c r="B33" s="341"/>
      <c r="C33" s="341"/>
      <c r="D33" s="341"/>
      <c r="E33" s="100" t="s">
        <v>312</v>
      </c>
      <c r="F33" s="63">
        <v>0.25</v>
      </c>
      <c r="G33" s="101">
        <v>3900</v>
      </c>
      <c r="H33" s="102">
        <v>3900</v>
      </c>
      <c r="I33" s="349"/>
      <c r="J33" s="383"/>
      <c r="K33" s="384"/>
    </row>
    <row r="34" spans="2:17" ht="14.5">
      <c r="B34" s="341"/>
      <c r="C34" s="341"/>
      <c r="D34" s="341"/>
      <c r="E34" s="100" t="s">
        <v>313</v>
      </c>
      <c r="F34" s="63">
        <v>0.25</v>
      </c>
      <c r="G34" s="101">
        <v>7700</v>
      </c>
      <c r="H34" s="102">
        <v>7700</v>
      </c>
      <c r="I34" s="349"/>
      <c r="J34" s="383"/>
      <c r="K34" s="384"/>
    </row>
    <row r="35" spans="2:17" ht="14.5">
      <c r="B35" s="341"/>
      <c r="C35" s="341"/>
      <c r="D35" s="341"/>
      <c r="E35" s="100" t="s">
        <v>314</v>
      </c>
      <c r="F35" s="63">
        <v>0.25</v>
      </c>
      <c r="G35" s="101">
        <v>19200</v>
      </c>
      <c r="H35" s="102">
        <v>19200</v>
      </c>
      <c r="I35" s="349"/>
      <c r="J35" s="383"/>
      <c r="K35" s="384"/>
    </row>
    <row r="36" spans="2:17" ht="14.5">
      <c r="B36" s="342"/>
      <c r="C36" s="342"/>
      <c r="D36" s="342"/>
      <c r="E36" s="103" t="s">
        <v>315</v>
      </c>
      <c r="F36" s="67">
        <v>0.3</v>
      </c>
      <c r="G36" s="104">
        <v>32000</v>
      </c>
      <c r="H36" s="105">
        <v>32000</v>
      </c>
      <c r="I36" s="349"/>
      <c r="J36" s="383"/>
      <c r="K36" s="384"/>
    </row>
    <row r="37" spans="2:17">
      <c r="B37" s="385" t="s">
        <v>316</v>
      </c>
      <c r="C37" s="386"/>
      <c r="D37" s="386"/>
      <c r="E37" s="386"/>
      <c r="F37" s="386"/>
      <c r="G37" s="386"/>
      <c r="H37" s="386"/>
      <c r="I37" s="386"/>
      <c r="J37" s="386"/>
      <c r="K37" s="387"/>
    </row>
    <row r="38" spans="2:17" ht="50" customHeight="1">
      <c r="B38" s="388"/>
      <c r="C38" s="389"/>
      <c r="D38" s="389"/>
      <c r="E38" s="389"/>
      <c r="F38" s="389"/>
      <c r="G38" s="389"/>
      <c r="H38" s="389"/>
      <c r="I38" s="389"/>
      <c r="J38" s="389"/>
      <c r="K38" s="390"/>
    </row>
    <row r="41" spans="2:17">
      <c r="B41"/>
      <c r="C41"/>
      <c r="D41"/>
      <c r="E41"/>
      <c r="F41"/>
      <c r="G41"/>
      <c r="H41"/>
      <c r="I41"/>
      <c r="J41"/>
      <c r="K41"/>
      <c r="L41"/>
      <c r="M41"/>
      <c r="N41"/>
      <c r="O41"/>
      <c r="P41"/>
      <c r="Q41"/>
    </row>
    <row r="42" spans="2:17">
      <c r="B42"/>
      <c r="C42"/>
      <c r="D42"/>
      <c r="E42"/>
      <c r="F42"/>
      <c r="G42"/>
      <c r="H42"/>
      <c r="I42"/>
      <c r="J42"/>
      <c r="K42"/>
      <c r="L42"/>
      <c r="M42"/>
      <c r="N42"/>
      <c r="O42"/>
      <c r="P42"/>
      <c r="Q42"/>
    </row>
    <row r="43" spans="2:17">
      <c r="B43"/>
      <c r="C43"/>
      <c r="D43"/>
      <c r="E43"/>
      <c r="F43"/>
      <c r="G43"/>
      <c r="H43"/>
      <c r="I43"/>
      <c r="J43"/>
      <c r="K43"/>
      <c r="L43"/>
      <c r="M43"/>
      <c r="N43"/>
      <c r="O43"/>
      <c r="P43"/>
      <c r="Q43"/>
    </row>
    <row r="44" spans="2:17">
      <c r="B44"/>
      <c r="C44"/>
      <c r="D44"/>
      <c r="E44"/>
      <c r="F44"/>
      <c r="G44"/>
      <c r="H44"/>
      <c r="I44"/>
      <c r="J44"/>
      <c r="K44"/>
      <c r="L44"/>
      <c r="M44"/>
      <c r="N44"/>
      <c r="O44"/>
      <c r="P44"/>
      <c r="Q44"/>
    </row>
    <row r="45" spans="2:17">
      <c r="B45"/>
      <c r="C45"/>
      <c r="D45"/>
      <c r="E45"/>
      <c r="F45"/>
      <c r="G45"/>
      <c r="H45"/>
      <c r="I45"/>
      <c r="J45"/>
      <c r="K45"/>
      <c r="L45"/>
      <c r="M45"/>
      <c r="N45"/>
      <c r="O45"/>
      <c r="P45"/>
      <c r="Q45"/>
    </row>
    <row r="46" spans="2:17">
      <c r="B46"/>
      <c r="C46"/>
      <c r="D46"/>
      <c r="E46"/>
      <c r="F46"/>
      <c r="G46"/>
      <c r="H46"/>
      <c r="I46"/>
      <c r="J46"/>
      <c r="K46"/>
      <c r="L46"/>
      <c r="M46"/>
      <c r="N46"/>
      <c r="O46"/>
      <c r="P46"/>
      <c r="Q46"/>
    </row>
    <row r="47" spans="2:17">
      <c r="B47"/>
      <c r="C47"/>
      <c r="D47"/>
      <c r="E47"/>
      <c r="F47"/>
      <c r="G47"/>
      <c r="H47"/>
      <c r="I47"/>
      <c r="J47"/>
      <c r="K47"/>
      <c r="L47"/>
      <c r="M47"/>
      <c r="N47"/>
      <c r="O47"/>
      <c r="P47"/>
      <c r="Q47"/>
    </row>
    <row r="48" spans="2:17">
      <c r="B48"/>
      <c r="C48"/>
      <c r="D48"/>
      <c r="E48"/>
      <c r="F48"/>
      <c r="G48"/>
      <c r="H48"/>
      <c r="I48"/>
      <c r="J48"/>
      <c r="K48"/>
      <c r="L48"/>
      <c r="M48"/>
      <c r="N48"/>
      <c r="O48"/>
      <c r="P48"/>
      <c r="Q48"/>
    </row>
    <row r="49" spans="2:17">
      <c r="B49"/>
      <c r="C49"/>
      <c r="D49"/>
      <c r="E49"/>
      <c r="F49"/>
      <c r="G49"/>
      <c r="H49"/>
      <c r="I49"/>
      <c r="J49"/>
      <c r="K49"/>
      <c r="L49"/>
      <c r="M49"/>
      <c r="N49"/>
      <c r="O49"/>
      <c r="P49"/>
      <c r="Q49"/>
    </row>
    <row r="50" spans="2:17">
      <c r="B50"/>
      <c r="C50"/>
      <c r="D50"/>
      <c r="E50"/>
      <c r="F50"/>
      <c r="G50"/>
      <c r="H50"/>
      <c r="I50"/>
      <c r="J50"/>
      <c r="K50"/>
      <c r="L50"/>
      <c r="M50"/>
      <c r="N50"/>
      <c r="O50"/>
      <c r="P50"/>
      <c r="Q50"/>
    </row>
    <row r="51" spans="2:17">
      <c r="B51"/>
      <c r="C51"/>
      <c r="D51"/>
      <c r="E51"/>
      <c r="F51"/>
      <c r="G51"/>
      <c r="H51"/>
      <c r="I51"/>
      <c r="J51"/>
      <c r="K51"/>
      <c r="L51"/>
      <c r="M51"/>
      <c r="N51"/>
      <c r="O51"/>
      <c r="P51"/>
      <c r="Q51"/>
    </row>
    <row r="52" spans="2:17">
      <c r="B52"/>
      <c r="C52"/>
      <c r="D52"/>
      <c r="E52"/>
      <c r="F52"/>
      <c r="G52"/>
      <c r="H52"/>
      <c r="I52"/>
      <c r="J52"/>
      <c r="K52"/>
      <c r="L52"/>
      <c r="M52"/>
      <c r="N52"/>
      <c r="O52"/>
      <c r="P52"/>
      <c r="Q52"/>
    </row>
    <row r="53" spans="2:17">
      <c r="B53"/>
      <c r="C53"/>
      <c r="D53"/>
      <c r="E53"/>
      <c r="F53"/>
      <c r="G53"/>
      <c r="H53"/>
      <c r="I53"/>
      <c r="J53"/>
      <c r="K53"/>
      <c r="L53"/>
      <c r="M53"/>
      <c r="N53"/>
      <c r="O53"/>
      <c r="P53"/>
      <c r="Q53"/>
    </row>
    <row r="54" spans="2:17">
      <c r="B54"/>
      <c r="C54"/>
      <c r="D54"/>
      <c r="E54"/>
      <c r="F54"/>
      <c r="G54"/>
      <c r="H54"/>
      <c r="I54"/>
      <c r="J54"/>
      <c r="K54"/>
      <c r="L54"/>
      <c r="M54"/>
      <c r="N54"/>
      <c r="O54"/>
      <c r="P54"/>
      <c r="Q54"/>
    </row>
    <row r="55" spans="2:17">
      <c r="B55"/>
      <c r="C55"/>
      <c r="D55"/>
      <c r="E55"/>
      <c r="F55"/>
      <c r="G55"/>
      <c r="H55"/>
      <c r="I55"/>
      <c r="J55"/>
      <c r="K55"/>
      <c r="L55"/>
      <c r="M55"/>
      <c r="N55"/>
      <c r="O55"/>
      <c r="P55"/>
      <c r="Q55"/>
    </row>
    <row r="56" spans="2:17">
      <c r="B56"/>
      <c r="C56"/>
      <c r="D56"/>
      <c r="E56"/>
      <c r="F56"/>
      <c r="G56"/>
      <c r="H56"/>
      <c r="I56"/>
      <c r="J56"/>
      <c r="K56"/>
      <c r="L56"/>
      <c r="M56"/>
      <c r="N56"/>
      <c r="O56"/>
      <c r="P56"/>
      <c r="Q56"/>
    </row>
    <row r="57" spans="2:17">
      <c r="B57"/>
      <c r="C57"/>
      <c r="D57"/>
      <c r="E57"/>
      <c r="F57"/>
      <c r="G57"/>
      <c r="H57"/>
      <c r="I57"/>
      <c r="J57"/>
      <c r="K57"/>
      <c r="L57"/>
      <c r="M57"/>
      <c r="N57"/>
      <c r="O57"/>
      <c r="P57"/>
      <c r="Q57"/>
    </row>
    <row r="58" spans="2:17">
      <c r="B58"/>
      <c r="C58"/>
      <c r="D58"/>
      <c r="E58"/>
      <c r="F58"/>
      <c r="G58"/>
      <c r="H58"/>
      <c r="I58"/>
      <c r="J58"/>
      <c r="K58"/>
      <c r="L58"/>
      <c r="M58"/>
      <c r="N58"/>
      <c r="O58"/>
      <c r="P58"/>
      <c r="Q58"/>
    </row>
  </sheetData>
  <mergeCells count="28">
    <mergeCell ref="I30:K36"/>
    <mergeCell ref="B37:K38"/>
    <mergeCell ref="I9:I10"/>
    <mergeCell ref="I11:I12"/>
    <mergeCell ref="B3:E5"/>
    <mergeCell ref="G3:I5"/>
    <mergeCell ref="I28:K29"/>
    <mergeCell ref="B30:B36"/>
    <mergeCell ref="C28:C29"/>
    <mergeCell ref="C30:C36"/>
    <mergeCell ref="D30:D36"/>
    <mergeCell ref="E7:E12"/>
    <mergeCell ref="B1:I1"/>
    <mergeCell ref="B13:E13"/>
    <mergeCell ref="G13:I13"/>
    <mergeCell ref="B16:C16"/>
    <mergeCell ref="D28:E28"/>
    <mergeCell ref="B28:B29"/>
    <mergeCell ref="F28:F29"/>
    <mergeCell ref="G7:G8"/>
    <mergeCell ref="G9:G10"/>
    <mergeCell ref="G11:G12"/>
    <mergeCell ref="G28:G29"/>
    <mergeCell ref="H7:H8"/>
    <mergeCell ref="H9:H10"/>
    <mergeCell ref="H11:H12"/>
    <mergeCell ref="H28:H29"/>
    <mergeCell ref="I7:I8"/>
  </mergeCells>
  <phoneticPr fontId="59" type="noConversion"/>
  <pageMargins left="0.70069444444444495" right="0.70069444444444495" top="0.75138888888888899" bottom="0.75138888888888899" header="0.29861111111111099" footer="0.29861111111111099"/>
  <pageSetup paperSize="8" orientation="landscape"/>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82"/>
  <sheetViews>
    <sheetView showGridLines="0" topLeftCell="A67" zoomScale="70" zoomScaleNormal="70" workbookViewId="0">
      <selection activeCell="F85" sqref="F85"/>
    </sheetView>
  </sheetViews>
  <sheetFormatPr defaultColWidth="8.4140625" defaultRowHeight="14"/>
  <cols>
    <col min="1" max="1" width="3.33203125" customWidth="1"/>
    <col min="2" max="2" width="31.08203125" style="41" customWidth="1"/>
    <col min="3" max="3" width="14.5" style="41" customWidth="1"/>
    <col min="4" max="4" width="14.08203125" style="41" customWidth="1"/>
    <col min="5" max="5" width="14.4140625" style="41" customWidth="1"/>
    <col min="6" max="6" width="14" style="41" customWidth="1"/>
    <col min="7" max="7" width="25.58203125" style="41" customWidth="1"/>
    <col min="8" max="8" width="7.75" style="41" customWidth="1"/>
    <col min="9" max="9" width="19.5" style="41" customWidth="1"/>
    <col min="10" max="10" width="17.5" style="41" customWidth="1"/>
    <col min="11" max="11" width="20.6640625" style="41" customWidth="1"/>
    <col min="12" max="12" width="39.1640625" style="41" customWidth="1"/>
    <col min="13" max="13" width="21.75" style="41" customWidth="1"/>
    <col min="14" max="14" width="20" style="41" customWidth="1"/>
    <col min="15" max="16384" width="8.4140625" style="41"/>
  </cols>
  <sheetData>
    <row r="1" spans="2:14" s="40" customFormat="1" ht="34" customHeight="1">
      <c r="B1" s="220" t="s">
        <v>552</v>
      </c>
      <c r="C1" s="220"/>
      <c r="D1" s="220"/>
      <c r="E1" s="220"/>
      <c r="F1" s="220"/>
      <c r="G1" s="220"/>
      <c r="H1" s="220"/>
      <c r="I1" s="220"/>
      <c r="J1" s="220"/>
      <c r="K1" s="220"/>
      <c r="L1" s="220"/>
      <c r="M1" s="220"/>
      <c r="N1" s="220"/>
    </row>
    <row r="2" spans="2:14" s="40" customFormat="1" ht="15" customHeight="1">
      <c r="B2" s="12"/>
      <c r="C2" s="12"/>
      <c r="D2" s="12"/>
      <c r="E2" s="12"/>
      <c r="F2" s="12"/>
      <c r="G2" s="12"/>
      <c r="H2" s="12"/>
      <c r="I2" s="12"/>
      <c r="J2" s="12"/>
      <c r="K2" s="12"/>
      <c r="L2" s="12"/>
      <c r="M2" s="12"/>
      <c r="N2" s="12"/>
    </row>
    <row r="3" spans="2:14" ht="22.5">
      <c r="B3" s="42" t="s">
        <v>553</v>
      </c>
      <c r="I3" s="42" t="s">
        <v>554</v>
      </c>
    </row>
    <row r="4" spans="2:14" ht="22" customHeight="1">
      <c r="B4" s="455" t="s">
        <v>170</v>
      </c>
      <c r="C4" s="456"/>
      <c r="D4" s="456"/>
      <c r="E4" s="456"/>
      <c r="F4" s="456"/>
      <c r="G4" s="457"/>
      <c r="I4" s="315" t="s">
        <v>255</v>
      </c>
      <c r="J4" s="316"/>
      <c r="K4" s="317"/>
      <c r="L4" s="317"/>
      <c r="M4" s="317"/>
      <c r="N4" s="318"/>
    </row>
    <row r="5" spans="2:14" ht="22" customHeight="1">
      <c r="B5" s="43" t="s">
        <v>172</v>
      </c>
      <c r="C5" s="44" t="s">
        <v>173</v>
      </c>
      <c r="D5" s="44" t="s">
        <v>174</v>
      </c>
      <c r="E5" s="44" t="s">
        <v>175</v>
      </c>
      <c r="F5" s="44" t="s">
        <v>176</v>
      </c>
      <c r="G5" s="45" t="s">
        <v>177</v>
      </c>
      <c r="I5" s="70" t="s">
        <v>257</v>
      </c>
      <c r="J5" s="71" t="s">
        <v>258</v>
      </c>
      <c r="K5" s="72" t="s">
        <v>259</v>
      </c>
      <c r="L5" s="72" t="s">
        <v>258</v>
      </c>
      <c r="M5" s="72" t="s">
        <v>260</v>
      </c>
      <c r="N5" s="73" t="s">
        <v>261</v>
      </c>
    </row>
    <row r="6" spans="2:14" ht="22" customHeight="1">
      <c r="B6" s="46" t="s">
        <v>178</v>
      </c>
      <c r="C6" s="47" t="s">
        <v>179</v>
      </c>
      <c r="D6" s="47" t="s">
        <v>180</v>
      </c>
      <c r="E6" s="47" t="s">
        <v>181</v>
      </c>
      <c r="F6" s="47" t="s">
        <v>182</v>
      </c>
      <c r="G6" s="48" t="s">
        <v>183</v>
      </c>
      <c r="I6" s="321" t="s">
        <v>262</v>
      </c>
      <c r="J6" s="74" t="s">
        <v>263</v>
      </c>
      <c r="K6" s="75" t="s">
        <v>264</v>
      </c>
      <c r="L6" s="74" t="s">
        <v>263</v>
      </c>
      <c r="M6" s="75">
        <v>8.9</v>
      </c>
      <c r="N6" s="76">
        <v>8.1</v>
      </c>
    </row>
    <row r="7" spans="2:14" ht="22" customHeight="1">
      <c r="B7" s="46" t="s">
        <v>187</v>
      </c>
      <c r="C7" s="47" t="s">
        <v>188</v>
      </c>
      <c r="D7" s="47" t="s">
        <v>189</v>
      </c>
      <c r="E7" s="47" t="s">
        <v>190</v>
      </c>
      <c r="F7" s="47" t="s">
        <v>191</v>
      </c>
      <c r="G7" s="48" t="s">
        <v>192</v>
      </c>
      <c r="I7" s="322"/>
      <c r="J7" s="74" t="s">
        <v>263</v>
      </c>
      <c r="K7" s="75" t="s">
        <v>265</v>
      </c>
      <c r="L7" s="74" t="s">
        <v>263</v>
      </c>
      <c r="M7" s="75">
        <v>7.6</v>
      </c>
      <c r="N7" s="76">
        <v>5.7</v>
      </c>
    </row>
    <row r="8" spans="2:14" ht="22" customHeight="1">
      <c r="B8" s="46" t="s">
        <v>194</v>
      </c>
      <c r="C8" s="47" t="s">
        <v>195</v>
      </c>
      <c r="D8" s="47" t="s">
        <v>196</v>
      </c>
      <c r="E8" s="47" t="s">
        <v>197</v>
      </c>
      <c r="F8" s="47" t="s">
        <v>198</v>
      </c>
      <c r="G8" s="48" t="s">
        <v>199</v>
      </c>
      <c r="I8" s="321" t="s">
        <v>266</v>
      </c>
      <c r="J8" s="324" t="s">
        <v>267</v>
      </c>
      <c r="K8" s="75" t="s">
        <v>264</v>
      </c>
      <c r="L8" s="77" t="s">
        <v>268</v>
      </c>
      <c r="M8" s="78">
        <v>3.47</v>
      </c>
      <c r="N8" s="79">
        <v>2.98</v>
      </c>
    </row>
    <row r="9" spans="2:14" ht="22" customHeight="1">
      <c r="B9" s="46" t="s">
        <v>200</v>
      </c>
      <c r="C9" s="47" t="s">
        <v>201</v>
      </c>
      <c r="D9" s="47" t="s">
        <v>202</v>
      </c>
      <c r="E9" s="47" t="s">
        <v>203</v>
      </c>
      <c r="F9" s="47" t="s">
        <v>204</v>
      </c>
      <c r="G9" s="48" t="s">
        <v>205</v>
      </c>
      <c r="I9" s="323"/>
      <c r="J9" s="324"/>
      <c r="K9" s="75" t="s">
        <v>265</v>
      </c>
      <c r="L9" s="77" t="s">
        <v>268</v>
      </c>
      <c r="M9" s="78">
        <v>2.4</v>
      </c>
      <c r="N9" s="79">
        <v>1.93</v>
      </c>
    </row>
    <row r="10" spans="2:14" ht="34" customHeight="1">
      <c r="B10" s="46" t="s">
        <v>206</v>
      </c>
      <c r="C10" s="49">
        <v>11600</v>
      </c>
      <c r="D10" s="49">
        <v>21300</v>
      </c>
      <c r="E10" s="49">
        <v>32000</v>
      </c>
      <c r="F10" s="49">
        <v>39000</v>
      </c>
      <c r="G10" s="50">
        <v>48800</v>
      </c>
      <c r="I10" s="323"/>
      <c r="J10" s="324" t="s">
        <v>269</v>
      </c>
      <c r="K10" s="75" t="s">
        <v>264</v>
      </c>
      <c r="L10" s="77" t="s">
        <v>270</v>
      </c>
      <c r="M10" s="78">
        <v>0.55000000000000004</v>
      </c>
      <c r="N10" s="79">
        <v>0.49</v>
      </c>
    </row>
    <row r="11" spans="2:14" ht="22" customHeight="1">
      <c r="B11" s="458" t="s">
        <v>207</v>
      </c>
      <c r="C11" s="282"/>
      <c r="D11" s="282"/>
      <c r="E11" s="282"/>
      <c r="F11" s="282"/>
      <c r="G11" s="459"/>
      <c r="I11" s="322"/>
      <c r="J11" s="324"/>
      <c r="K11" s="75" t="s">
        <v>265</v>
      </c>
      <c r="L11" s="77" t="s">
        <v>270</v>
      </c>
      <c r="M11" s="78">
        <v>0.39</v>
      </c>
      <c r="N11" s="79">
        <v>0.31</v>
      </c>
    </row>
    <row r="12" spans="2:14" ht="22" customHeight="1">
      <c r="B12" s="43" t="s">
        <v>208</v>
      </c>
      <c r="C12" s="51" t="s">
        <v>209</v>
      </c>
      <c r="D12" s="51" t="s">
        <v>210</v>
      </c>
      <c r="E12" s="52" t="s">
        <v>211</v>
      </c>
      <c r="F12" s="52" t="s">
        <v>212</v>
      </c>
      <c r="G12" s="53" t="s">
        <v>213</v>
      </c>
      <c r="I12" s="321" t="s">
        <v>271</v>
      </c>
      <c r="J12" s="324" t="s">
        <v>267</v>
      </c>
      <c r="K12" s="75" t="s">
        <v>264</v>
      </c>
      <c r="L12" s="77" t="s">
        <v>272</v>
      </c>
      <c r="M12" s="78">
        <v>3.94</v>
      </c>
      <c r="N12" s="79">
        <v>3.23</v>
      </c>
    </row>
    <row r="13" spans="2:14" ht="22" customHeight="1">
      <c r="B13" s="46" t="s">
        <v>178</v>
      </c>
      <c r="C13" s="54" t="s">
        <v>215</v>
      </c>
      <c r="D13" s="54" t="s">
        <v>216</v>
      </c>
      <c r="E13" s="55" t="s">
        <v>217</v>
      </c>
      <c r="F13" s="55" t="s">
        <v>218</v>
      </c>
      <c r="G13" s="56" t="s">
        <v>219</v>
      </c>
      <c r="I13" s="323"/>
      <c r="J13" s="324"/>
      <c r="K13" s="75" t="s">
        <v>265</v>
      </c>
      <c r="L13" s="80" t="s">
        <v>272</v>
      </c>
      <c r="M13" s="78">
        <v>2.83</v>
      </c>
      <c r="N13" s="79">
        <v>2.2400000000000002</v>
      </c>
    </row>
    <row r="14" spans="2:14" ht="22" customHeight="1">
      <c r="B14" s="46" t="s">
        <v>187</v>
      </c>
      <c r="C14" s="54" t="s">
        <v>220</v>
      </c>
      <c r="D14" s="54" t="s">
        <v>221</v>
      </c>
      <c r="E14" s="55" t="s">
        <v>222</v>
      </c>
      <c r="F14" s="55" t="s">
        <v>223</v>
      </c>
      <c r="G14" s="56" t="s">
        <v>224</v>
      </c>
      <c r="I14" s="323"/>
      <c r="J14" s="324" t="s">
        <v>269</v>
      </c>
      <c r="K14" s="75" t="s">
        <v>264</v>
      </c>
      <c r="L14" s="80" t="s">
        <v>273</v>
      </c>
      <c r="M14" s="81">
        <v>0.15</v>
      </c>
      <c r="N14" s="82">
        <v>0.13</v>
      </c>
    </row>
    <row r="15" spans="2:14" ht="22" customHeight="1">
      <c r="B15" s="46" t="s">
        <v>194</v>
      </c>
      <c r="C15" s="54" t="s">
        <v>225</v>
      </c>
      <c r="D15" s="54" t="s">
        <v>226</v>
      </c>
      <c r="E15" s="47" t="s">
        <v>227</v>
      </c>
      <c r="F15" s="47" t="s">
        <v>228</v>
      </c>
      <c r="G15" s="48" t="s">
        <v>229</v>
      </c>
      <c r="I15" s="323"/>
      <c r="J15" s="324"/>
      <c r="K15" s="75" t="s">
        <v>265</v>
      </c>
      <c r="L15" s="80" t="s">
        <v>273</v>
      </c>
      <c r="M15" s="81">
        <v>0.13</v>
      </c>
      <c r="N15" s="82">
        <v>0.1</v>
      </c>
    </row>
    <row r="16" spans="2:14" ht="22" customHeight="1">
      <c r="B16" s="46" t="s">
        <v>200</v>
      </c>
      <c r="C16" s="54" t="s">
        <v>230</v>
      </c>
      <c r="D16" s="54" t="s">
        <v>231</v>
      </c>
      <c r="E16" s="47" t="s">
        <v>232</v>
      </c>
      <c r="F16" s="47" t="s">
        <v>233</v>
      </c>
      <c r="G16" s="48" t="s">
        <v>234</v>
      </c>
      <c r="I16" s="465" t="s">
        <v>75</v>
      </c>
      <c r="J16" s="467"/>
      <c r="K16" s="471" t="s">
        <v>274</v>
      </c>
      <c r="L16" s="471"/>
      <c r="M16" s="471"/>
      <c r="N16" s="472"/>
    </row>
    <row r="17" spans="2:18" ht="32" customHeight="1">
      <c r="B17" s="46" t="s">
        <v>206</v>
      </c>
      <c r="C17" s="57">
        <v>1330</v>
      </c>
      <c r="D17" s="57">
        <v>2700</v>
      </c>
      <c r="E17" s="58">
        <v>3750</v>
      </c>
      <c r="F17" s="58">
        <v>6200</v>
      </c>
      <c r="G17" s="59">
        <v>9250</v>
      </c>
      <c r="I17" s="466"/>
      <c r="J17" s="468"/>
      <c r="K17" s="473"/>
      <c r="L17" s="473"/>
      <c r="M17" s="473"/>
      <c r="N17" s="474"/>
    </row>
    <row r="18" spans="2:18" ht="216" customHeight="1">
      <c r="B18" s="460" t="s">
        <v>235</v>
      </c>
      <c r="C18" s="461"/>
      <c r="D18" s="461"/>
      <c r="E18" s="461"/>
      <c r="F18" s="461"/>
      <c r="G18" s="462"/>
      <c r="I18" s="463" t="s">
        <v>555</v>
      </c>
      <c r="J18" s="464"/>
      <c r="K18" s="464"/>
      <c r="L18" s="464"/>
      <c r="M18" s="464"/>
      <c r="N18" s="464"/>
    </row>
    <row r="19" spans="2:18" ht="22" customHeight="1">
      <c r="B19"/>
      <c r="C19"/>
      <c r="D19"/>
      <c r="E19"/>
      <c r="F19"/>
    </row>
    <row r="20" spans="2:18" ht="22.5">
      <c r="B20" s="42" t="s">
        <v>556</v>
      </c>
      <c r="C20"/>
      <c r="D20"/>
      <c r="E20"/>
      <c r="F20"/>
    </row>
    <row r="21" spans="2:18" ht="14.5">
      <c r="B21" s="343" t="s">
        <v>294</v>
      </c>
      <c r="C21" s="351" t="s">
        <v>295</v>
      </c>
      <c r="D21" s="337" t="s">
        <v>296</v>
      </c>
      <c r="E21" s="337"/>
      <c r="F21" s="337"/>
      <c r="G21" s="338" t="s">
        <v>75</v>
      </c>
      <c r="H21" s="338" t="s">
        <v>318</v>
      </c>
      <c r="I21" s="338"/>
      <c r="J21" s="338"/>
      <c r="K21" s="338"/>
      <c r="L21" s="338"/>
      <c r="M21" s="469" t="s">
        <v>319</v>
      </c>
      <c r="N21" s="475"/>
      <c r="O21" s="475"/>
      <c r="P21" s="475"/>
      <c r="Q21" s="475"/>
      <c r="R21" s="69"/>
    </row>
    <row r="22" spans="2:18" ht="14.5">
      <c r="B22" s="344"/>
      <c r="C22" s="352"/>
      <c r="D22" s="60" t="s">
        <v>300</v>
      </c>
      <c r="E22" s="60" t="s">
        <v>301</v>
      </c>
      <c r="F22" s="60" t="s">
        <v>320</v>
      </c>
      <c r="G22" s="339"/>
      <c r="H22" s="61" t="s">
        <v>321</v>
      </c>
      <c r="I22" s="61" t="s">
        <v>322</v>
      </c>
      <c r="J22" s="61" t="s">
        <v>323</v>
      </c>
      <c r="K22" s="61" t="s">
        <v>324</v>
      </c>
      <c r="L22" s="61" t="s">
        <v>325</v>
      </c>
      <c r="M22" s="470"/>
      <c r="N22" s="475"/>
      <c r="O22" s="475"/>
      <c r="P22" s="475"/>
      <c r="Q22" s="475"/>
      <c r="R22" s="69"/>
    </row>
    <row r="23" spans="2:18" ht="14.5">
      <c r="B23" s="345" t="s">
        <v>326</v>
      </c>
      <c r="C23" s="353" t="s">
        <v>305</v>
      </c>
      <c r="D23" s="353" t="s">
        <v>327</v>
      </c>
      <c r="E23" s="353" t="s">
        <v>314</v>
      </c>
      <c r="F23" s="62" t="s">
        <v>328</v>
      </c>
      <c r="G23" s="63">
        <v>0.3</v>
      </c>
      <c r="H23" s="64">
        <v>68000</v>
      </c>
      <c r="I23" s="64">
        <v>45400</v>
      </c>
      <c r="J23" s="64">
        <v>37800</v>
      </c>
      <c r="K23" s="64">
        <v>29500</v>
      </c>
      <c r="L23" s="64">
        <v>26200</v>
      </c>
      <c r="M23" s="83">
        <v>26200</v>
      </c>
      <c r="N23" s="476"/>
      <c r="O23" s="476"/>
      <c r="P23" s="476"/>
      <c r="Q23" s="476"/>
      <c r="R23" s="69"/>
    </row>
    <row r="24" spans="2:18" ht="14.5">
      <c r="B24" s="345"/>
      <c r="C24" s="353"/>
      <c r="D24" s="353"/>
      <c r="E24" s="353"/>
      <c r="F24" s="62" t="s">
        <v>329</v>
      </c>
      <c r="G24" s="63">
        <v>0.3</v>
      </c>
      <c r="H24" s="64">
        <v>108200</v>
      </c>
      <c r="I24" s="64">
        <v>72100</v>
      </c>
      <c r="J24" s="64">
        <v>60100</v>
      </c>
      <c r="K24" s="64">
        <v>46800</v>
      </c>
      <c r="L24" s="64">
        <v>41600</v>
      </c>
      <c r="M24" s="83">
        <v>41600</v>
      </c>
      <c r="N24" s="476"/>
      <c r="O24" s="476"/>
      <c r="P24" s="476"/>
      <c r="Q24" s="476"/>
      <c r="R24" s="69"/>
    </row>
    <row r="25" spans="2:18" ht="14.5">
      <c r="B25" s="345"/>
      <c r="C25" s="353"/>
      <c r="D25" s="353"/>
      <c r="E25" s="353" t="s">
        <v>315</v>
      </c>
      <c r="F25" s="62" t="s">
        <v>328</v>
      </c>
      <c r="G25" s="63">
        <v>0.3</v>
      </c>
      <c r="H25" s="64">
        <v>77600</v>
      </c>
      <c r="I25" s="64">
        <v>51700</v>
      </c>
      <c r="J25" s="64">
        <v>43100</v>
      </c>
      <c r="K25" s="64">
        <v>33500</v>
      </c>
      <c r="L25" s="64">
        <v>29800</v>
      </c>
      <c r="M25" s="83">
        <v>29800</v>
      </c>
      <c r="N25" s="476"/>
      <c r="O25" s="476"/>
      <c r="P25" s="476"/>
      <c r="Q25" s="476"/>
      <c r="R25" s="69"/>
    </row>
    <row r="26" spans="2:18" ht="14.5">
      <c r="B26" s="345"/>
      <c r="C26" s="353"/>
      <c r="D26" s="353"/>
      <c r="E26" s="353"/>
      <c r="F26" s="62" t="s">
        <v>329</v>
      </c>
      <c r="G26" s="63">
        <v>0.3</v>
      </c>
      <c r="H26" s="64">
        <v>117700</v>
      </c>
      <c r="I26" s="64">
        <v>78500</v>
      </c>
      <c r="J26" s="64">
        <v>65400</v>
      </c>
      <c r="K26" s="64">
        <v>51000</v>
      </c>
      <c r="L26" s="64">
        <v>45300</v>
      </c>
      <c r="M26" s="83">
        <v>45300</v>
      </c>
      <c r="N26" s="476"/>
      <c r="O26" s="476"/>
      <c r="P26" s="476"/>
      <c r="Q26" s="476"/>
      <c r="R26" s="69"/>
    </row>
    <row r="27" spans="2:18" ht="14.5">
      <c r="B27" s="345"/>
      <c r="C27" s="353"/>
      <c r="D27" s="353"/>
      <c r="E27" s="353" t="s">
        <v>330</v>
      </c>
      <c r="F27" s="62" t="s">
        <v>328</v>
      </c>
      <c r="G27" s="63">
        <v>0.3</v>
      </c>
      <c r="H27" s="64">
        <v>98600</v>
      </c>
      <c r="I27" s="64">
        <v>65800</v>
      </c>
      <c r="J27" s="64">
        <v>54800</v>
      </c>
      <c r="K27" s="64">
        <v>42600</v>
      </c>
      <c r="L27" s="64">
        <v>37900</v>
      </c>
      <c r="M27" s="83">
        <v>37900</v>
      </c>
      <c r="N27" s="476"/>
      <c r="O27" s="476"/>
      <c r="P27" s="476"/>
      <c r="Q27" s="476"/>
      <c r="R27" s="69"/>
    </row>
    <row r="28" spans="2:18" ht="16.5">
      <c r="B28" s="345"/>
      <c r="C28" s="353"/>
      <c r="D28" s="353"/>
      <c r="E28" s="353"/>
      <c r="F28" s="65" t="s">
        <v>329</v>
      </c>
      <c r="G28" s="63">
        <v>0.3</v>
      </c>
      <c r="H28" s="64">
        <v>136100</v>
      </c>
      <c r="I28" s="64">
        <v>90700</v>
      </c>
      <c r="J28" s="64">
        <v>75600</v>
      </c>
      <c r="K28" s="64">
        <v>59000</v>
      </c>
      <c r="L28" s="64">
        <v>52400</v>
      </c>
      <c r="M28" s="83">
        <v>52400</v>
      </c>
      <c r="N28" s="476"/>
      <c r="O28" s="476"/>
      <c r="P28" s="476"/>
      <c r="Q28" s="476"/>
      <c r="R28" s="69"/>
    </row>
    <row r="29" spans="2:18" ht="16.5">
      <c r="B29" s="345"/>
      <c r="C29" s="353"/>
      <c r="D29" s="353"/>
      <c r="E29" s="353" t="s">
        <v>331</v>
      </c>
      <c r="F29" s="65" t="s">
        <v>328</v>
      </c>
      <c r="G29" s="63">
        <v>0.35</v>
      </c>
      <c r="H29" s="64">
        <v>196200</v>
      </c>
      <c r="I29" s="64">
        <v>130800</v>
      </c>
      <c r="J29" s="64">
        <v>109000</v>
      </c>
      <c r="K29" s="64">
        <v>84900</v>
      </c>
      <c r="L29" s="64">
        <v>75500</v>
      </c>
      <c r="M29" s="83">
        <v>75500</v>
      </c>
      <c r="N29" s="476"/>
      <c r="O29" s="476"/>
      <c r="P29" s="476"/>
      <c r="Q29" s="476"/>
      <c r="R29" s="69"/>
    </row>
    <row r="30" spans="2:18" ht="16.5">
      <c r="B30" s="345"/>
      <c r="C30" s="353"/>
      <c r="D30" s="353"/>
      <c r="E30" s="353"/>
      <c r="F30" s="65" t="s">
        <v>329</v>
      </c>
      <c r="G30" s="63">
        <v>0.35</v>
      </c>
      <c r="H30" s="64">
        <v>214200</v>
      </c>
      <c r="I30" s="64">
        <v>142800</v>
      </c>
      <c r="J30" s="64">
        <v>119000</v>
      </c>
      <c r="K30" s="64">
        <v>92700</v>
      </c>
      <c r="L30" s="64">
        <v>82400</v>
      </c>
      <c r="M30" s="83">
        <v>82400</v>
      </c>
      <c r="N30" s="476"/>
      <c r="O30" s="476"/>
      <c r="P30" s="476"/>
      <c r="Q30" s="476"/>
      <c r="R30" s="69"/>
    </row>
    <row r="31" spans="2:18" ht="16.5">
      <c r="B31" s="345"/>
      <c r="C31" s="353"/>
      <c r="D31" s="353"/>
      <c r="E31" s="353" t="s">
        <v>332</v>
      </c>
      <c r="F31" s="65" t="s">
        <v>328</v>
      </c>
      <c r="G31" s="63">
        <v>0.35</v>
      </c>
      <c r="H31" s="64">
        <v>340200</v>
      </c>
      <c r="I31" s="64">
        <v>226800</v>
      </c>
      <c r="J31" s="64">
        <v>189000</v>
      </c>
      <c r="K31" s="64">
        <v>147200</v>
      </c>
      <c r="L31" s="64">
        <v>130800</v>
      </c>
      <c r="M31" s="83">
        <v>130800</v>
      </c>
      <c r="N31" s="476"/>
      <c r="O31" s="476"/>
      <c r="P31" s="476"/>
      <c r="Q31" s="476"/>
      <c r="R31" s="69"/>
    </row>
    <row r="32" spans="2:18" ht="16.5">
      <c r="B32" s="345"/>
      <c r="C32" s="353"/>
      <c r="D32" s="353"/>
      <c r="E32" s="353"/>
      <c r="F32" s="65" t="s">
        <v>329</v>
      </c>
      <c r="G32" s="63">
        <v>0.35</v>
      </c>
      <c r="H32" s="64">
        <v>380700</v>
      </c>
      <c r="I32" s="64">
        <v>253800</v>
      </c>
      <c r="J32" s="64">
        <v>211500</v>
      </c>
      <c r="K32" s="64">
        <v>164700</v>
      </c>
      <c r="L32" s="64">
        <v>146400</v>
      </c>
      <c r="M32" s="83">
        <v>146400</v>
      </c>
      <c r="N32" s="476"/>
      <c r="O32" s="476"/>
      <c r="P32" s="476"/>
      <c r="Q32" s="476"/>
      <c r="R32" s="69"/>
    </row>
    <row r="33" spans="2:18" ht="16.5">
      <c r="B33" s="345"/>
      <c r="C33" s="353"/>
      <c r="D33" s="358" t="s">
        <v>333</v>
      </c>
      <c r="E33" s="353" t="s">
        <v>314</v>
      </c>
      <c r="F33" s="65" t="s">
        <v>328</v>
      </c>
      <c r="G33" s="63">
        <v>0.3</v>
      </c>
      <c r="H33" s="64">
        <v>74900</v>
      </c>
      <c r="I33" s="64">
        <v>49900</v>
      </c>
      <c r="J33" s="64">
        <v>41600</v>
      </c>
      <c r="K33" s="64">
        <v>33800</v>
      </c>
      <c r="L33" s="64">
        <v>30000</v>
      </c>
      <c r="M33" s="83">
        <v>30000</v>
      </c>
      <c r="N33" s="476"/>
      <c r="O33" s="476"/>
      <c r="P33" s="476"/>
      <c r="Q33" s="476"/>
      <c r="R33" s="69"/>
    </row>
    <row r="34" spans="2:18" ht="16.5">
      <c r="B34" s="345"/>
      <c r="C34" s="353"/>
      <c r="D34" s="358"/>
      <c r="E34" s="353"/>
      <c r="F34" s="65" t="s">
        <v>329</v>
      </c>
      <c r="G34" s="63">
        <v>0.3</v>
      </c>
      <c r="H34" s="64">
        <v>115000</v>
      </c>
      <c r="I34" s="64">
        <v>76700</v>
      </c>
      <c r="J34" s="64">
        <v>63900</v>
      </c>
      <c r="K34" s="64">
        <v>51100</v>
      </c>
      <c r="L34" s="64">
        <v>45400</v>
      </c>
      <c r="M34" s="83">
        <v>45400</v>
      </c>
      <c r="N34" s="476"/>
      <c r="O34" s="476"/>
      <c r="P34" s="476"/>
      <c r="Q34" s="476"/>
      <c r="R34" s="69"/>
    </row>
    <row r="35" spans="2:18" ht="16.5">
      <c r="B35" s="345"/>
      <c r="C35" s="353"/>
      <c r="D35" s="358"/>
      <c r="E35" s="353" t="s">
        <v>315</v>
      </c>
      <c r="F35" s="65" t="s">
        <v>328</v>
      </c>
      <c r="G35" s="63">
        <v>0.3</v>
      </c>
      <c r="H35" s="64">
        <v>84400</v>
      </c>
      <c r="I35" s="64">
        <v>56300</v>
      </c>
      <c r="J35" s="64">
        <v>46900</v>
      </c>
      <c r="K35" s="64">
        <v>37900</v>
      </c>
      <c r="L35" s="64">
        <v>33700</v>
      </c>
      <c r="M35" s="83">
        <v>33700</v>
      </c>
      <c r="N35" s="476"/>
      <c r="O35" s="476"/>
      <c r="P35" s="476"/>
      <c r="Q35" s="476"/>
      <c r="R35" s="69"/>
    </row>
    <row r="36" spans="2:18" ht="16.5">
      <c r="B36" s="345"/>
      <c r="C36" s="353"/>
      <c r="D36" s="358"/>
      <c r="E36" s="353"/>
      <c r="F36" s="65" t="s">
        <v>329</v>
      </c>
      <c r="G36" s="63">
        <v>0.3</v>
      </c>
      <c r="H36" s="64">
        <v>124600</v>
      </c>
      <c r="I36" s="64">
        <v>83000</v>
      </c>
      <c r="J36" s="64">
        <v>69200</v>
      </c>
      <c r="K36" s="64">
        <v>55200</v>
      </c>
      <c r="L36" s="64">
        <v>49100</v>
      </c>
      <c r="M36" s="83">
        <v>49100</v>
      </c>
      <c r="N36" s="476"/>
      <c r="O36" s="476"/>
      <c r="P36" s="476"/>
      <c r="Q36" s="476"/>
      <c r="R36" s="69"/>
    </row>
    <row r="37" spans="2:18" ht="16.5">
      <c r="B37" s="345"/>
      <c r="C37" s="353"/>
      <c r="D37" s="358"/>
      <c r="E37" s="353" t="s">
        <v>330</v>
      </c>
      <c r="F37" s="65" t="s">
        <v>328</v>
      </c>
      <c r="G37" s="63">
        <v>0.3</v>
      </c>
      <c r="H37" s="64">
        <v>105500</v>
      </c>
      <c r="I37" s="64">
        <v>70300</v>
      </c>
      <c r="J37" s="64">
        <v>58600</v>
      </c>
      <c r="K37" s="64">
        <v>46900</v>
      </c>
      <c r="L37" s="64">
        <v>41700</v>
      </c>
      <c r="M37" s="83">
        <v>41700</v>
      </c>
      <c r="N37" s="476"/>
      <c r="O37" s="476"/>
      <c r="P37" s="476"/>
      <c r="Q37" s="476"/>
      <c r="R37" s="69"/>
    </row>
    <row r="38" spans="2:18" ht="16.5">
      <c r="B38" s="345"/>
      <c r="C38" s="353"/>
      <c r="D38" s="358"/>
      <c r="E38" s="353"/>
      <c r="F38" s="65" t="s">
        <v>329</v>
      </c>
      <c r="G38" s="63">
        <v>0.3</v>
      </c>
      <c r="H38" s="64">
        <v>143100</v>
      </c>
      <c r="I38" s="64">
        <v>95400</v>
      </c>
      <c r="J38" s="64">
        <v>79500</v>
      </c>
      <c r="K38" s="64">
        <v>63200</v>
      </c>
      <c r="L38" s="64">
        <v>56200</v>
      </c>
      <c r="M38" s="83">
        <v>56200</v>
      </c>
      <c r="N38" s="476"/>
      <c r="O38" s="476"/>
      <c r="P38" s="476"/>
      <c r="Q38" s="476"/>
      <c r="R38" s="69"/>
    </row>
    <row r="39" spans="2:18" ht="16.5">
      <c r="B39" s="345"/>
      <c r="C39" s="353"/>
      <c r="D39" s="358"/>
      <c r="E39" s="353" t="s">
        <v>331</v>
      </c>
      <c r="F39" s="65" t="s">
        <v>328</v>
      </c>
      <c r="G39" s="63">
        <v>0.35</v>
      </c>
      <c r="H39" s="64">
        <v>208100</v>
      </c>
      <c r="I39" s="64">
        <v>138700</v>
      </c>
      <c r="J39" s="64">
        <v>115600</v>
      </c>
      <c r="K39" s="64">
        <v>92400</v>
      </c>
      <c r="L39" s="64">
        <v>82100</v>
      </c>
      <c r="M39" s="83">
        <v>82100</v>
      </c>
      <c r="N39" s="476"/>
      <c r="O39" s="476"/>
      <c r="P39" s="476"/>
      <c r="Q39" s="476"/>
      <c r="R39" s="69"/>
    </row>
    <row r="40" spans="2:18" ht="16.5">
      <c r="B40" s="345"/>
      <c r="C40" s="353"/>
      <c r="D40" s="358"/>
      <c r="E40" s="353"/>
      <c r="F40" s="65" t="s">
        <v>329</v>
      </c>
      <c r="G40" s="63">
        <v>0.35</v>
      </c>
      <c r="H40" s="64">
        <v>226100</v>
      </c>
      <c r="I40" s="64">
        <v>150700</v>
      </c>
      <c r="J40" s="64">
        <v>125600</v>
      </c>
      <c r="K40" s="64">
        <v>100100</v>
      </c>
      <c r="L40" s="64">
        <v>89000</v>
      </c>
      <c r="M40" s="83">
        <v>89000</v>
      </c>
      <c r="N40" s="476"/>
      <c r="O40" s="476"/>
      <c r="P40" s="476"/>
      <c r="Q40" s="476"/>
      <c r="R40" s="69"/>
    </row>
    <row r="41" spans="2:18" ht="16.5">
      <c r="B41" s="345"/>
      <c r="C41" s="353"/>
      <c r="D41" s="358"/>
      <c r="E41" s="353" t="s">
        <v>332</v>
      </c>
      <c r="F41" s="65" t="s">
        <v>328</v>
      </c>
      <c r="G41" s="63">
        <v>0.35</v>
      </c>
      <c r="H41" s="64">
        <v>351900</v>
      </c>
      <c r="I41" s="64">
        <v>234600</v>
      </c>
      <c r="J41" s="64">
        <v>195500</v>
      </c>
      <c r="K41" s="64">
        <v>154600</v>
      </c>
      <c r="L41" s="64">
        <v>137400</v>
      </c>
      <c r="M41" s="83">
        <v>137400</v>
      </c>
      <c r="N41" s="476"/>
      <c r="O41" s="476"/>
      <c r="P41" s="476"/>
      <c r="Q41" s="476"/>
      <c r="R41" s="69"/>
    </row>
    <row r="42" spans="2:18" ht="16.5">
      <c r="B42" s="346"/>
      <c r="C42" s="354"/>
      <c r="D42" s="359"/>
      <c r="E42" s="354"/>
      <c r="F42" s="66" t="s">
        <v>329</v>
      </c>
      <c r="G42" s="67">
        <v>0.35</v>
      </c>
      <c r="H42" s="68">
        <v>392400</v>
      </c>
      <c r="I42" s="68">
        <v>261600</v>
      </c>
      <c r="J42" s="68">
        <v>218000</v>
      </c>
      <c r="K42" s="68">
        <v>172100</v>
      </c>
      <c r="L42" s="68">
        <v>153000</v>
      </c>
      <c r="M42" s="84">
        <v>153000</v>
      </c>
      <c r="N42" s="476"/>
      <c r="O42" s="476"/>
      <c r="P42" s="476"/>
      <c r="Q42" s="476"/>
      <c r="R42" s="69"/>
    </row>
    <row r="43" spans="2:18" ht="14.5">
      <c r="B43" s="477" t="s">
        <v>334</v>
      </c>
      <c r="C43" s="478"/>
      <c r="D43" s="478"/>
      <c r="E43" s="478"/>
      <c r="F43" s="478"/>
      <c r="G43" s="478"/>
      <c r="H43" s="478"/>
      <c r="I43" s="478"/>
      <c r="J43" s="478"/>
      <c r="K43" s="478"/>
      <c r="L43" s="478"/>
      <c r="M43" s="479"/>
      <c r="N43" s="85"/>
      <c r="O43" s="85"/>
      <c r="P43" s="85"/>
      <c r="Q43" s="85"/>
      <c r="R43" s="69"/>
    </row>
    <row r="44" spans="2:18" ht="62" customHeight="1">
      <c r="B44" s="480"/>
      <c r="C44" s="481"/>
      <c r="D44" s="481"/>
      <c r="E44" s="481"/>
      <c r="F44" s="481"/>
      <c r="G44" s="481"/>
      <c r="H44" s="481"/>
      <c r="I44" s="481"/>
      <c r="J44" s="481"/>
      <c r="K44" s="481"/>
      <c r="L44" s="481"/>
      <c r="M44" s="482"/>
      <c r="N44" s="85"/>
      <c r="O44" s="85"/>
      <c r="P44" s="85"/>
      <c r="Q44" s="85"/>
      <c r="R44" s="69"/>
    </row>
    <row r="45" spans="2:18">
      <c r="B45" s="69"/>
      <c r="C45" s="69"/>
      <c r="D45" s="69"/>
      <c r="E45" s="69"/>
      <c r="F45" s="69"/>
      <c r="G45" s="69"/>
      <c r="H45" s="69"/>
      <c r="I45" s="69"/>
      <c r="J45" s="69"/>
      <c r="K45" s="69"/>
      <c r="L45" s="69"/>
      <c r="M45" s="69"/>
      <c r="N45" s="86"/>
      <c r="O45" s="86"/>
      <c r="P45" s="86"/>
      <c r="Q45" s="86"/>
      <c r="R45" s="69"/>
    </row>
    <row r="46" spans="2:18">
      <c r="B46" s="69"/>
      <c r="C46" s="69"/>
      <c r="D46" s="69"/>
      <c r="E46" s="69"/>
      <c r="F46" s="69"/>
      <c r="G46" s="69"/>
      <c r="H46" s="69"/>
      <c r="I46" s="69"/>
      <c r="J46" s="69"/>
      <c r="K46" s="69"/>
      <c r="L46" s="69"/>
      <c r="M46" s="69"/>
      <c r="N46" s="86"/>
      <c r="O46" s="86"/>
      <c r="P46" s="86"/>
      <c r="Q46" s="86"/>
      <c r="R46" s="69"/>
    </row>
    <row r="47" spans="2:18">
      <c r="B47" s="69"/>
      <c r="C47" s="69"/>
      <c r="D47" s="69"/>
      <c r="E47" s="69"/>
      <c r="F47" s="69"/>
      <c r="G47" s="69"/>
      <c r="H47" s="69"/>
      <c r="I47" s="69"/>
      <c r="J47" s="69"/>
      <c r="K47" s="69"/>
      <c r="L47" s="69"/>
      <c r="M47" s="69"/>
      <c r="N47" s="69"/>
      <c r="O47" s="69"/>
      <c r="P47" s="69"/>
      <c r="Q47" s="69"/>
      <c r="R47" s="69"/>
    </row>
    <row r="48" spans="2:18">
      <c r="B48" s="69"/>
      <c r="C48" s="69"/>
      <c r="D48" s="69"/>
      <c r="E48" s="69"/>
      <c r="F48" s="69"/>
      <c r="G48" s="69"/>
      <c r="H48" s="69"/>
      <c r="I48" s="69"/>
      <c r="J48" s="69"/>
      <c r="K48" s="69"/>
      <c r="L48" s="69"/>
      <c r="M48" s="69"/>
      <c r="N48" s="69"/>
      <c r="O48" s="69"/>
      <c r="P48" s="69"/>
      <c r="Q48" s="69"/>
      <c r="R48" s="69"/>
    </row>
    <row r="49" spans="2:18">
      <c r="B49" s="69"/>
      <c r="C49" s="69"/>
      <c r="D49" s="69"/>
      <c r="E49" s="69"/>
      <c r="F49" s="69"/>
      <c r="G49" s="69"/>
      <c r="H49" s="69"/>
      <c r="I49" s="69"/>
      <c r="J49" s="69"/>
      <c r="K49" s="69"/>
      <c r="L49" s="69"/>
      <c r="M49" s="69"/>
      <c r="N49" s="69"/>
      <c r="O49" s="69"/>
      <c r="P49" s="69"/>
      <c r="Q49" s="69"/>
      <c r="R49" s="69"/>
    </row>
    <row r="50" spans="2:18">
      <c r="B50" s="69"/>
      <c r="C50" s="69"/>
      <c r="D50" s="69"/>
      <c r="E50" s="69"/>
      <c r="F50" s="69"/>
      <c r="G50" s="69"/>
      <c r="H50" s="69"/>
      <c r="I50" s="69"/>
      <c r="J50" s="69"/>
      <c r="K50" s="69"/>
      <c r="L50" s="69"/>
      <c r="M50" s="69"/>
      <c r="N50" s="69"/>
      <c r="O50" s="69"/>
      <c r="P50" s="69"/>
      <c r="Q50" s="69"/>
      <c r="R50" s="69"/>
    </row>
    <row r="51" spans="2:18">
      <c r="B51" s="69"/>
      <c r="C51" s="69"/>
      <c r="D51" s="69"/>
      <c r="E51" s="69"/>
      <c r="F51" s="69"/>
      <c r="G51" s="69"/>
      <c r="H51" s="69"/>
      <c r="I51" s="69"/>
      <c r="J51" s="69"/>
      <c r="K51" s="69"/>
      <c r="L51" s="69"/>
      <c r="M51" s="69"/>
      <c r="N51" s="69"/>
      <c r="O51" s="69"/>
      <c r="P51" s="69"/>
      <c r="Q51" s="69"/>
      <c r="R51" s="69"/>
    </row>
    <row r="52" spans="2:18" ht="22.5">
      <c r="B52" s="42" t="s">
        <v>557</v>
      </c>
      <c r="C52" s="69"/>
      <c r="D52" s="69"/>
      <c r="E52" s="69"/>
      <c r="F52" s="69"/>
      <c r="G52" s="69"/>
      <c r="H52" s="69"/>
      <c r="I52" s="69"/>
      <c r="J52" s="69"/>
      <c r="K52" s="69"/>
      <c r="L52" s="69"/>
      <c r="M52" s="69"/>
      <c r="N52" s="69"/>
      <c r="O52" s="69"/>
      <c r="P52" s="69"/>
      <c r="Q52" s="69"/>
      <c r="R52" s="69"/>
    </row>
    <row r="53" spans="2:18" ht="14.5">
      <c r="B53" s="343" t="s">
        <v>294</v>
      </c>
      <c r="C53" s="351" t="s">
        <v>295</v>
      </c>
      <c r="D53" s="337" t="s">
        <v>296</v>
      </c>
      <c r="E53" s="337"/>
      <c r="F53" s="337"/>
      <c r="G53" s="338" t="s">
        <v>75</v>
      </c>
      <c r="H53" s="338" t="s">
        <v>318</v>
      </c>
      <c r="I53" s="338"/>
      <c r="J53" s="338"/>
      <c r="K53" s="338"/>
      <c r="L53" s="338"/>
      <c r="M53" s="469" t="s">
        <v>319</v>
      </c>
      <c r="N53" s="475"/>
      <c r="O53" s="475"/>
      <c r="P53" s="475"/>
      <c r="Q53" s="475"/>
      <c r="R53" s="69"/>
    </row>
    <row r="54" spans="2:18" ht="14.5">
      <c r="B54" s="344"/>
      <c r="C54" s="352"/>
      <c r="D54" s="60" t="s">
        <v>300</v>
      </c>
      <c r="E54" s="60" t="s">
        <v>301</v>
      </c>
      <c r="F54" s="60" t="s">
        <v>320</v>
      </c>
      <c r="G54" s="339"/>
      <c r="H54" s="61" t="s">
        <v>321</v>
      </c>
      <c r="I54" s="61" t="s">
        <v>322</v>
      </c>
      <c r="J54" s="61" t="s">
        <v>323</v>
      </c>
      <c r="K54" s="61" t="s">
        <v>324</v>
      </c>
      <c r="L54" s="61" t="s">
        <v>325</v>
      </c>
      <c r="M54" s="470"/>
      <c r="N54" s="475"/>
      <c r="O54" s="475"/>
      <c r="P54" s="475"/>
      <c r="Q54" s="475"/>
      <c r="R54"/>
    </row>
    <row r="55" spans="2:18" ht="14.5">
      <c r="B55" s="345" t="s">
        <v>335</v>
      </c>
      <c r="C55" s="353" t="s">
        <v>305</v>
      </c>
      <c r="D55" s="353" t="s">
        <v>336</v>
      </c>
      <c r="E55" s="353" t="s">
        <v>314</v>
      </c>
      <c r="F55" s="62" t="s">
        <v>337</v>
      </c>
      <c r="G55" s="63">
        <v>0.3</v>
      </c>
      <c r="H55" s="64">
        <v>204000</v>
      </c>
      <c r="I55" s="64">
        <v>135500</v>
      </c>
      <c r="J55" s="64">
        <v>91400</v>
      </c>
      <c r="K55" s="64">
        <v>75900</v>
      </c>
      <c r="L55" s="64">
        <v>65600</v>
      </c>
      <c r="M55" s="83">
        <v>65600</v>
      </c>
      <c r="N55" s="476"/>
      <c r="O55" s="476"/>
      <c r="P55" s="476"/>
      <c r="Q55" s="476"/>
      <c r="R55"/>
    </row>
    <row r="56" spans="2:18" ht="14.5">
      <c r="B56" s="345"/>
      <c r="C56" s="353"/>
      <c r="D56" s="353"/>
      <c r="E56" s="353"/>
      <c r="F56" s="62" t="s">
        <v>338</v>
      </c>
      <c r="G56" s="63">
        <v>0.3</v>
      </c>
      <c r="H56" s="64">
        <v>352700</v>
      </c>
      <c r="I56" s="64">
        <v>234400</v>
      </c>
      <c r="J56" s="64">
        <v>158100</v>
      </c>
      <c r="K56" s="64">
        <v>132300</v>
      </c>
      <c r="L56" s="64">
        <v>114300</v>
      </c>
      <c r="M56" s="83">
        <v>114300</v>
      </c>
      <c r="N56" s="476"/>
      <c r="O56" s="476"/>
      <c r="P56" s="476"/>
      <c r="Q56" s="476"/>
      <c r="R56"/>
    </row>
    <row r="57" spans="2:18" ht="14.5">
      <c r="B57" s="345"/>
      <c r="C57" s="353"/>
      <c r="D57" s="353"/>
      <c r="E57" s="353" t="s">
        <v>315</v>
      </c>
      <c r="F57" s="62" t="s">
        <v>337</v>
      </c>
      <c r="G57" s="63">
        <v>0.3</v>
      </c>
      <c r="H57" s="64">
        <v>204100</v>
      </c>
      <c r="I57" s="64">
        <v>135800</v>
      </c>
      <c r="J57" s="64">
        <v>91600</v>
      </c>
      <c r="K57" s="64">
        <v>77200</v>
      </c>
      <c r="L57" s="64">
        <v>66600</v>
      </c>
      <c r="M57" s="83">
        <v>66600</v>
      </c>
      <c r="N57" s="476"/>
      <c r="O57" s="476"/>
      <c r="P57" s="476"/>
      <c r="Q57" s="476"/>
      <c r="R57"/>
    </row>
    <row r="58" spans="2:18" ht="14.5">
      <c r="B58" s="345"/>
      <c r="C58" s="353"/>
      <c r="D58" s="353"/>
      <c r="E58" s="353"/>
      <c r="F58" s="62" t="s">
        <v>338</v>
      </c>
      <c r="G58" s="63">
        <v>0.3</v>
      </c>
      <c r="H58" s="64">
        <v>360400</v>
      </c>
      <c r="I58" s="64">
        <v>239100</v>
      </c>
      <c r="J58" s="64">
        <v>161900</v>
      </c>
      <c r="K58" s="64">
        <v>137500</v>
      </c>
      <c r="L58" s="64">
        <v>115100</v>
      </c>
      <c r="M58" s="83">
        <v>115100</v>
      </c>
      <c r="N58" s="476"/>
      <c r="O58" s="476"/>
      <c r="P58" s="476"/>
      <c r="Q58" s="476"/>
      <c r="R58"/>
    </row>
    <row r="59" spans="2:18" ht="14.5">
      <c r="B59" s="345"/>
      <c r="C59" s="353"/>
      <c r="D59" s="353"/>
      <c r="E59" s="353" t="s">
        <v>330</v>
      </c>
      <c r="F59" s="62" t="s">
        <v>337</v>
      </c>
      <c r="G59" s="63">
        <v>0.3</v>
      </c>
      <c r="H59" s="64">
        <v>255700</v>
      </c>
      <c r="I59" s="64">
        <v>169500</v>
      </c>
      <c r="J59" s="64">
        <v>115000</v>
      </c>
      <c r="K59" s="64">
        <v>98400</v>
      </c>
      <c r="L59" s="64">
        <v>81000</v>
      </c>
      <c r="M59" s="83">
        <v>81000</v>
      </c>
      <c r="N59" s="476"/>
      <c r="O59" s="476"/>
      <c r="P59" s="476"/>
      <c r="Q59" s="476"/>
      <c r="R59" s="87"/>
    </row>
    <row r="60" spans="2:18" ht="16.5">
      <c r="B60" s="345"/>
      <c r="C60" s="353"/>
      <c r="D60" s="353"/>
      <c r="E60" s="353"/>
      <c r="F60" s="65" t="s">
        <v>338</v>
      </c>
      <c r="G60" s="63">
        <v>0.3</v>
      </c>
      <c r="H60" s="64">
        <v>409200</v>
      </c>
      <c r="I60" s="64">
        <v>271000</v>
      </c>
      <c r="J60" s="64">
        <v>184100</v>
      </c>
      <c r="K60" s="64">
        <v>158900</v>
      </c>
      <c r="L60" s="64">
        <v>128700</v>
      </c>
      <c r="M60" s="83">
        <v>128700</v>
      </c>
      <c r="N60" s="476"/>
      <c r="O60" s="476"/>
      <c r="P60" s="476"/>
      <c r="Q60" s="476"/>
      <c r="R60" s="87"/>
    </row>
    <row r="61" spans="2:18" ht="16.5">
      <c r="B61" s="345"/>
      <c r="C61" s="353"/>
      <c r="D61" s="353"/>
      <c r="E61" s="353" t="s">
        <v>331</v>
      </c>
      <c r="F61" s="65" t="s">
        <v>337</v>
      </c>
      <c r="G61" s="63">
        <v>0.35</v>
      </c>
      <c r="H61" s="64">
        <v>398600</v>
      </c>
      <c r="I61" s="64">
        <v>263700</v>
      </c>
      <c r="J61" s="64">
        <v>179500</v>
      </c>
      <c r="K61" s="64">
        <v>156100</v>
      </c>
      <c r="L61" s="64">
        <v>124500</v>
      </c>
      <c r="M61" s="83">
        <v>124500</v>
      </c>
      <c r="N61" s="476"/>
      <c r="O61" s="476"/>
      <c r="P61" s="476"/>
      <c r="Q61" s="476"/>
      <c r="R61" s="87"/>
    </row>
    <row r="62" spans="2:18" ht="16.5">
      <c r="B62" s="345"/>
      <c r="C62" s="353"/>
      <c r="D62" s="353"/>
      <c r="E62" s="353"/>
      <c r="F62" s="65" t="s">
        <v>338</v>
      </c>
      <c r="G62" s="63">
        <v>0.35</v>
      </c>
      <c r="H62" s="64">
        <v>561700</v>
      </c>
      <c r="I62" s="64">
        <v>371300</v>
      </c>
      <c r="J62" s="64">
        <v>253200</v>
      </c>
      <c r="K62" s="64">
        <v>222000</v>
      </c>
      <c r="L62" s="64">
        <v>174100</v>
      </c>
      <c r="M62" s="83">
        <v>174100</v>
      </c>
      <c r="N62" s="476"/>
      <c r="O62" s="476"/>
      <c r="P62" s="476"/>
      <c r="Q62" s="476"/>
      <c r="R62" s="87"/>
    </row>
    <row r="63" spans="2:18" ht="16.5">
      <c r="B63" s="345"/>
      <c r="C63" s="353"/>
      <c r="D63" s="353"/>
      <c r="E63" s="353" t="s">
        <v>332</v>
      </c>
      <c r="F63" s="65" t="s">
        <v>337</v>
      </c>
      <c r="G63" s="63">
        <v>0.35</v>
      </c>
      <c r="H63" s="64">
        <v>657000</v>
      </c>
      <c r="I63" s="64">
        <v>433900</v>
      </c>
      <c r="J63" s="64">
        <v>296500</v>
      </c>
      <c r="K63" s="64">
        <v>262000</v>
      </c>
      <c r="L63" s="64">
        <v>202200</v>
      </c>
      <c r="M63" s="83">
        <v>202200</v>
      </c>
      <c r="N63" s="476"/>
      <c r="O63" s="476"/>
      <c r="P63" s="476"/>
      <c r="Q63" s="476"/>
      <c r="R63" s="87"/>
    </row>
    <row r="64" spans="2:18" ht="16.5">
      <c r="B64" s="345"/>
      <c r="C64" s="353"/>
      <c r="D64" s="353"/>
      <c r="E64" s="353"/>
      <c r="F64" s="65" t="s">
        <v>338</v>
      </c>
      <c r="G64" s="63">
        <v>0.35</v>
      </c>
      <c r="H64" s="64">
        <v>884100</v>
      </c>
      <c r="I64" s="64">
        <v>583400</v>
      </c>
      <c r="J64" s="64">
        <v>399300</v>
      </c>
      <c r="K64" s="64">
        <v>355800</v>
      </c>
      <c r="L64" s="64">
        <v>270100</v>
      </c>
      <c r="M64" s="83">
        <v>270100</v>
      </c>
      <c r="N64" s="476"/>
      <c r="O64" s="476"/>
      <c r="P64" s="476"/>
      <c r="Q64" s="476"/>
      <c r="R64" s="87"/>
    </row>
    <row r="65" spans="2:18" ht="16.5">
      <c r="B65" s="345"/>
      <c r="C65" s="353"/>
      <c r="D65" s="358" t="s">
        <v>333</v>
      </c>
      <c r="E65" s="353" t="s">
        <v>314</v>
      </c>
      <c r="F65" s="65" t="s">
        <v>337</v>
      </c>
      <c r="G65" s="63">
        <v>0.3</v>
      </c>
      <c r="H65" s="64">
        <v>207900</v>
      </c>
      <c r="I65" s="64">
        <v>139700</v>
      </c>
      <c r="J65" s="64">
        <v>105000</v>
      </c>
      <c r="K65" s="64">
        <v>80600</v>
      </c>
      <c r="L65" s="64">
        <v>72900</v>
      </c>
      <c r="M65" s="83">
        <v>72900</v>
      </c>
      <c r="N65" s="476"/>
      <c r="O65" s="476"/>
      <c r="P65" s="476"/>
      <c r="Q65" s="476"/>
      <c r="R65" s="87"/>
    </row>
    <row r="66" spans="2:18" ht="16.5">
      <c r="B66" s="345"/>
      <c r="C66" s="353"/>
      <c r="D66" s="358"/>
      <c r="E66" s="353"/>
      <c r="F66" s="65" t="s">
        <v>338</v>
      </c>
      <c r="G66" s="63">
        <v>0.3</v>
      </c>
      <c r="H66" s="64">
        <v>356600</v>
      </c>
      <c r="I66" s="64">
        <v>237800</v>
      </c>
      <c r="J66" s="64">
        <v>177600</v>
      </c>
      <c r="K66" s="64">
        <v>135400</v>
      </c>
      <c r="L66" s="64">
        <v>121800</v>
      </c>
      <c r="M66" s="83">
        <v>121800</v>
      </c>
      <c r="N66" s="476"/>
      <c r="O66" s="476"/>
      <c r="P66" s="476"/>
      <c r="Q66" s="476"/>
      <c r="R66" s="87"/>
    </row>
    <row r="67" spans="2:18" ht="16.5">
      <c r="B67" s="345"/>
      <c r="C67" s="353"/>
      <c r="D67" s="358"/>
      <c r="E67" s="353" t="s">
        <v>315</v>
      </c>
      <c r="F67" s="65" t="s">
        <v>337</v>
      </c>
      <c r="G67" s="63">
        <v>0.3</v>
      </c>
      <c r="H67" s="64">
        <v>208000</v>
      </c>
      <c r="I67" s="64">
        <v>139700</v>
      </c>
      <c r="J67" s="64">
        <v>105100</v>
      </c>
      <c r="K67" s="64">
        <v>80600</v>
      </c>
      <c r="L67" s="64">
        <v>72900</v>
      </c>
      <c r="M67" s="83">
        <v>72900</v>
      </c>
      <c r="N67" s="476"/>
      <c r="O67" s="476"/>
      <c r="P67" s="476"/>
      <c r="Q67" s="476"/>
      <c r="R67" s="87"/>
    </row>
    <row r="68" spans="2:18" ht="16.5">
      <c r="B68" s="345"/>
      <c r="C68" s="353"/>
      <c r="D68" s="358"/>
      <c r="E68" s="353"/>
      <c r="F68" s="65" t="s">
        <v>338</v>
      </c>
      <c r="G68" s="63">
        <v>0.3</v>
      </c>
      <c r="H68" s="64">
        <v>364300</v>
      </c>
      <c r="I68" s="64">
        <v>242800</v>
      </c>
      <c r="J68" s="64">
        <v>181400</v>
      </c>
      <c r="K68" s="64">
        <v>138300</v>
      </c>
      <c r="L68" s="64">
        <v>124400</v>
      </c>
      <c r="M68" s="83">
        <v>124400</v>
      </c>
      <c r="N68" s="476"/>
      <c r="O68" s="476"/>
      <c r="P68" s="476"/>
      <c r="Q68" s="476"/>
      <c r="R68" s="87"/>
    </row>
    <row r="69" spans="2:18" ht="16.5">
      <c r="B69" s="345"/>
      <c r="C69" s="353"/>
      <c r="D69" s="358"/>
      <c r="E69" s="353" t="s">
        <v>330</v>
      </c>
      <c r="F69" s="65" t="s">
        <v>337</v>
      </c>
      <c r="G69" s="63">
        <v>0.3</v>
      </c>
      <c r="H69" s="64">
        <v>259600</v>
      </c>
      <c r="I69" s="64">
        <v>173800</v>
      </c>
      <c r="J69" s="64">
        <v>130300</v>
      </c>
      <c r="K69" s="64">
        <v>99600</v>
      </c>
      <c r="L69" s="64">
        <v>89900</v>
      </c>
      <c r="M69" s="83">
        <v>89900</v>
      </c>
      <c r="N69" s="476"/>
      <c r="O69" s="476"/>
      <c r="P69" s="476"/>
      <c r="Q69" s="476"/>
      <c r="R69" s="87"/>
    </row>
    <row r="70" spans="2:18" ht="16.5">
      <c r="B70" s="345"/>
      <c r="C70" s="353"/>
      <c r="D70" s="358"/>
      <c r="E70" s="353"/>
      <c r="F70" s="65" t="s">
        <v>338</v>
      </c>
      <c r="G70" s="63">
        <v>0.3</v>
      </c>
      <c r="H70" s="64">
        <v>413100</v>
      </c>
      <c r="I70" s="64">
        <v>275000</v>
      </c>
      <c r="J70" s="64">
        <v>205200</v>
      </c>
      <c r="K70" s="64">
        <v>163000</v>
      </c>
      <c r="L70" s="64">
        <v>140400</v>
      </c>
      <c r="M70" s="83">
        <v>140400</v>
      </c>
      <c r="N70" s="476"/>
      <c r="O70" s="476"/>
      <c r="P70" s="476"/>
      <c r="Q70" s="476"/>
      <c r="R70" s="87"/>
    </row>
    <row r="71" spans="2:18" ht="16.5">
      <c r="B71" s="345"/>
      <c r="C71" s="353"/>
      <c r="D71" s="358"/>
      <c r="E71" s="353" t="s">
        <v>331</v>
      </c>
      <c r="F71" s="65" t="s">
        <v>337</v>
      </c>
      <c r="G71" s="63">
        <v>0.35</v>
      </c>
      <c r="H71" s="64">
        <v>405300</v>
      </c>
      <c r="I71" s="64">
        <v>271600</v>
      </c>
      <c r="J71" s="64">
        <v>203900</v>
      </c>
      <c r="K71" s="64">
        <v>162900</v>
      </c>
      <c r="L71" s="64">
        <v>141100</v>
      </c>
      <c r="M71" s="83">
        <v>141100</v>
      </c>
      <c r="N71" s="476"/>
      <c r="O71" s="476"/>
      <c r="P71" s="476"/>
      <c r="Q71" s="476"/>
      <c r="R71" s="87"/>
    </row>
    <row r="72" spans="2:18" ht="16.5">
      <c r="B72" s="345"/>
      <c r="C72" s="353"/>
      <c r="D72" s="358"/>
      <c r="E72" s="353"/>
      <c r="F72" s="65" t="s">
        <v>338</v>
      </c>
      <c r="G72" s="63">
        <v>0.35</v>
      </c>
      <c r="H72" s="64">
        <v>568400</v>
      </c>
      <c r="I72" s="64">
        <v>379300</v>
      </c>
      <c r="J72" s="64">
        <v>283500</v>
      </c>
      <c r="K72" s="64">
        <v>225700</v>
      </c>
      <c r="L72" s="64">
        <v>194700</v>
      </c>
      <c r="M72" s="83">
        <v>194700</v>
      </c>
      <c r="N72" s="476"/>
      <c r="O72" s="476"/>
      <c r="P72" s="476"/>
      <c r="Q72" s="476"/>
      <c r="R72" s="87"/>
    </row>
    <row r="73" spans="2:18" ht="16.5">
      <c r="B73" s="345"/>
      <c r="C73" s="353"/>
      <c r="D73" s="358"/>
      <c r="E73" s="353" t="s">
        <v>332</v>
      </c>
      <c r="F73" s="65" t="s">
        <v>337</v>
      </c>
      <c r="G73" s="63">
        <v>0.35</v>
      </c>
      <c r="H73" s="64">
        <v>663800</v>
      </c>
      <c r="I73" s="64">
        <v>442200</v>
      </c>
      <c r="J73" s="64">
        <v>330100</v>
      </c>
      <c r="K73" s="64">
        <v>262400</v>
      </c>
      <c r="L73" s="64">
        <v>226100</v>
      </c>
      <c r="M73" s="83">
        <v>226100</v>
      </c>
      <c r="N73" s="476"/>
      <c r="O73" s="476"/>
      <c r="P73" s="476"/>
      <c r="Q73" s="476"/>
      <c r="R73" s="87"/>
    </row>
    <row r="74" spans="2:18" ht="16.5">
      <c r="B74" s="346"/>
      <c r="C74" s="354"/>
      <c r="D74" s="359"/>
      <c r="E74" s="354"/>
      <c r="F74" s="66" t="s">
        <v>338</v>
      </c>
      <c r="G74" s="67">
        <v>0.35</v>
      </c>
      <c r="H74" s="68">
        <v>890800</v>
      </c>
      <c r="I74" s="68">
        <v>592000</v>
      </c>
      <c r="J74" s="68">
        <v>441000</v>
      </c>
      <c r="K74" s="68">
        <v>356000</v>
      </c>
      <c r="L74" s="68">
        <v>300800</v>
      </c>
      <c r="M74" s="84">
        <v>300800</v>
      </c>
      <c r="N74" s="476"/>
      <c r="O74" s="476"/>
      <c r="P74" s="476"/>
      <c r="Q74" s="476"/>
      <c r="R74" s="87"/>
    </row>
    <row r="75" spans="2:18" ht="14.5">
      <c r="B75" s="477" t="s">
        <v>558</v>
      </c>
      <c r="C75" s="478"/>
      <c r="D75" s="478"/>
      <c r="E75" s="478"/>
      <c r="F75" s="478"/>
      <c r="G75" s="478"/>
      <c r="H75" s="478"/>
      <c r="I75" s="478"/>
      <c r="J75" s="478"/>
      <c r="K75" s="478"/>
      <c r="L75" s="478"/>
      <c r="M75" s="479"/>
      <c r="N75" s="85"/>
      <c r="O75" s="85"/>
      <c r="P75" s="85"/>
      <c r="Q75" s="85"/>
      <c r="R75" s="69"/>
    </row>
    <row r="76" spans="2:18" ht="64" customHeight="1">
      <c r="B76" s="480"/>
      <c r="C76" s="481"/>
      <c r="D76" s="481"/>
      <c r="E76" s="481"/>
      <c r="F76" s="481"/>
      <c r="G76" s="481"/>
      <c r="H76" s="481"/>
      <c r="I76" s="481"/>
      <c r="J76" s="481"/>
      <c r="K76" s="481"/>
      <c r="L76" s="481"/>
      <c r="M76" s="482"/>
      <c r="N76" s="85"/>
      <c r="O76" s="85"/>
      <c r="P76" s="85"/>
      <c r="Q76" s="85"/>
      <c r="R76" s="69"/>
    </row>
    <row r="77" spans="2:18">
      <c r="B77" s="69"/>
      <c r="C77" s="69"/>
      <c r="D77" s="69"/>
      <c r="E77" s="69"/>
      <c r="F77" s="69"/>
      <c r="G77" s="69"/>
      <c r="H77" s="69"/>
      <c r="I77" s="69"/>
      <c r="J77" s="69"/>
      <c r="K77" s="69"/>
      <c r="L77" s="69"/>
      <c r="M77" s="69"/>
      <c r="N77" s="69"/>
      <c r="O77" s="69"/>
      <c r="P77" s="69"/>
      <c r="Q77" s="69"/>
      <c r="R77" s="69"/>
    </row>
    <row r="78" spans="2:18">
      <c r="B78" s="69"/>
      <c r="C78" s="69"/>
      <c r="D78" s="69"/>
      <c r="E78" s="69"/>
      <c r="F78" s="69"/>
      <c r="G78" s="69"/>
      <c r="H78" s="69"/>
      <c r="I78" s="69"/>
      <c r="J78" s="69"/>
      <c r="K78" s="69"/>
      <c r="L78" s="69"/>
      <c r="M78" s="69"/>
      <c r="N78" s="69"/>
      <c r="O78" s="69"/>
      <c r="P78" s="69"/>
      <c r="Q78" s="69"/>
      <c r="R78" s="69"/>
    </row>
    <row r="79" spans="2:18">
      <c r="B79" s="69"/>
      <c r="C79" s="69"/>
      <c r="D79" s="69"/>
      <c r="E79" s="69"/>
      <c r="F79" s="69"/>
      <c r="G79" s="69"/>
      <c r="H79" s="69"/>
      <c r="I79" s="69"/>
      <c r="J79" s="69"/>
      <c r="K79" s="69"/>
      <c r="L79" s="69"/>
      <c r="M79" s="69"/>
      <c r="N79" s="69"/>
      <c r="O79" s="69"/>
      <c r="P79" s="69"/>
      <c r="Q79" s="69"/>
      <c r="R79" s="69"/>
    </row>
    <row r="80" spans="2:18">
      <c r="B80" s="69"/>
      <c r="C80" s="69"/>
      <c r="D80" s="69"/>
      <c r="E80" s="69"/>
      <c r="F80" s="69"/>
      <c r="G80" s="69"/>
      <c r="H80" s="69"/>
      <c r="I80" s="69"/>
      <c r="J80" s="69"/>
      <c r="K80" s="69"/>
      <c r="L80" s="69"/>
      <c r="M80" s="69"/>
      <c r="N80" s="69"/>
      <c r="O80" s="69"/>
      <c r="P80" s="69"/>
      <c r="Q80" s="69"/>
      <c r="R80" s="69"/>
    </row>
    <row r="81" spans="2:18">
      <c r="B81" s="69"/>
      <c r="C81" s="69"/>
      <c r="D81" s="69"/>
      <c r="E81" s="69"/>
      <c r="F81" s="69"/>
      <c r="G81" s="69"/>
      <c r="H81" s="69"/>
      <c r="I81" s="69"/>
      <c r="J81" s="69"/>
      <c r="K81" s="69"/>
      <c r="L81" s="69"/>
      <c r="M81" s="69"/>
      <c r="N81" s="69"/>
      <c r="O81" s="69"/>
      <c r="P81" s="69"/>
      <c r="Q81" s="69"/>
      <c r="R81" s="69"/>
    </row>
    <row r="82" spans="2:18">
      <c r="B82" s="69"/>
      <c r="C82" s="69"/>
      <c r="D82" s="69"/>
      <c r="E82" s="69"/>
      <c r="F82" s="69"/>
      <c r="G82" s="69"/>
      <c r="H82" s="69"/>
      <c r="I82" s="69"/>
      <c r="J82" s="69"/>
      <c r="K82" s="69"/>
      <c r="L82" s="69"/>
      <c r="M82" s="69"/>
      <c r="N82" s="69"/>
      <c r="O82" s="69"/>
      <c r="P82" s="69"/>
      <c r="Q82" s="69"/>
      <c r="R82" s="69"/>
    </row>
  </sheetData>
  <mergeCells count="62">
    <mergeCell ref="N55:Q74"/>
    <mergeCell ref="B43:M44"/>
    <mergeCell ref="B75:M76"/>
    <mergeCell ref="M21:M22"/>
    <mergeCell ref="M53:M54"/>
    <mergeCell ref="K16:N17"/>
    <mergeCell ref="N21:Q22"/>
    <mergeCell ref="N23:Q42"/>
    <mergeCell ref="N53:Q54"/>
    <mergeCell ref="E73:E74"/>
    <mergeCell ref="G21:G22"/>
    <mergeCell ref="G53:G54"/>
    <mergeCell ref="I6:I7"/>
    <mergeCell ref="I8:I11"/>
    <mergeCell ref="I12:I15"/>
    <mergeCell ref="I16:I17"/>
    <mergeCell ref="E63:E64"/>
    <mergeCell ref="E65:E66"/>
    <mergeCell ref="E67:E68"/>
    <mergeCell ref="E69:E70"/>
    <mergeCell ref="E71:E72"/>
    <mergeCell ref="D55:D64"/>
    <mergeCell ref="D65:D74"/>
    <mergeCell ref="E23:E24"/>
    <mergeCell ref="E25:E26"/>
    <mergeCell ref="E27:E28"/>
    <mergeCell ref="E29:E30"/>
    <mergeCell ref="E31:E32"/>
    <mergeCell ref="E33:E34"/>
    <mergeCell ref="E35:E36"/>
    <mergeCell ref="E37:E38"/>
    <mergeCell ref="E39:E40"/>
    <mergeCell ref="E41:E42"/>
    <mergeCell ref="E55:E56"/>
    <mergeCell ref="E57:E58"/>
    <mergeCell ref="E59:E60"/>
    <mergeCell ref="E61:E62"/>
    <mergeCell ref="B55:B74"/>
    <mergeCell ref="C21:C22"/>
    <mergeCell ref="C23:C42"/>
    <mergeCell ref="C53:C54"/>
    <mergeCell ref="C55:C74"/>
    <mergeCell ref="D21:F21"/>
    <mergeCell ref="H21:L21"/>
    <mergeCell ref="D53:F53"/>
    <mergeCell ref="H53:L53"/>
    <mergeCell ref="B21:B22"/>
    <mergeCell ref="B23:B42"/>
    <mergeCell ref="B53:B54"/>
    <mergeCell ref="D23:D32"/>
    <mergeCell ref="D33:D42"/>
    <mergeCell ref="B1:N1"/>
    <mergeCell ref="B4:G4"/>
    <mergeCell ref="I4:N4"/>
    <mergeCell ref="B11:G11"/>
    <mergeCell ref="B18:G18"/>
    <mergeCell ref="I18:N18"/>
    <mergeCell ref="J8:J9"/>
    <mergeCell ref="J10:J11"/>
    <mergeCell ref="J12:J13"/>
    <mergeCell ref="J14:J15"/>
    <mergeCell ref="J16:J17"/>
  </mergeCells>
  <phoneticPr fontId="59" type="noConversion"/>
  <pageMargins left="0.70069444444444495" right="0.70069444444444495" top="0.75138888888888899" bottom="0.75138888888888899" header="0.29861111111111099" footer="0.29861111111111099"/>
  <pageSetup paperSize="8" orientation="landscape"/>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N39"/>
  <sheetViews>
    <sheetView zoomScale="90" zoomScaleNormal="90" workbookViewId="0">
      <selection activeCell="F19" sqref="F19"/>
    </sheetView>
  </sheetViews>
  <sheetFormatPr defaultColWidth="23" defaultRowHeight="14"/>
  <cols>
    <col min="1" max="1" width="9.9140625" style="11" customWidth="1"/>
    <col min="2" max="2" width="21" style="11" customWidth="1"/>
    <col min="3" max="3" width="17.58203125" style="11" customWidth="1"/>
    <col min="4" max="4" width="22" style="11" customWidth="1"/>
    <col min="5" max="5" width="12.58203125" style="11" customWidth="1"/>
    <col min="6" max="6" width="21.9140625" style="11" customWidth="1"/>
    <col min="7" max="7" width="6.9140625" style="11" customWidth="1"/>
    <col min="8" max="8" width="26.08203125" style="11" customWidth="1"/>
    <col min="9" max="9" width="6.08203125" style="11" customWidth="1"/>
    <col min="10" max="10" width="17.9140625" style="11" customWidth="1"/>
    <col min="11" max="11" width="12.58203125" style="11" customWidth="1"/>
    <col min="12" max="12" width="23" style="11" customWidth="1"/>
    <col min="13" max="16384" width="23" style="11"/>
  </cols>
  <sheetData>
    <row r="1" spans="2:14" ht="25">
      <c r="B1" s="220" t="s">
        <v>559</v>
      </c>
      <c r="C1" s="220"/>
      <c r="D1" s="220"/>
      <c r="E1" s="220"/>
      <c r="F1" s="220"/>
      <c r="G1" s="220"/>
      <c r="H1" s="220"/>
      <c r="I1" s="220"/>
      <c r="J1" s="220"/>
      <c r="K1" s="220"/>
      <c r="L1" s="37"/>
      <c r="M1" s="37"/>
      <c r="N1" s="37"/>
    </row>
    <row r="4" spans="2:14" ht="16.5">
      <c r="B4" s="483" t="s">
        <v>560</v>
      </c>
      <c r="C4" s="484"/>
      <c r="D4" s="484"/>
      <c r="E4" s="484"/>
      <c r="F4" s="484"/>
      <c r="G4" s="484"/>
      <c r="H4" s="484"/>
      <c r="I4" s="484"/>
      <c r="J4" s="484"/>
      <c r="K4" s="485"/>
    </row>
    <row r="5" spans="2:14" ht="16.5">
      <c r="B5" s="13" t="s">
        <v>561</v>
      </c>
      <c r="C5" s="14" t="s">
        <v>85</v>
      </c>
      <c r="D5" s="15" t="s">
        <v>562</v>
      </c>
      <c r="E5" s="14">
        <v>10</v>
      </c>
      <c r="F5" s="16" t="s">
        <v>563</v>
      </c>
      <c r="G5" s="14">
        <v>30</v>
      </c>
      <c r="H5" s="16" t="s">
        <v>564</v>
      </c>
      <c r="I5" s="38">
        <v>8</v>
      </c>
      <c r="J5" s="15" t="s">
        <v>565</v>
      </c>
      <c r="K5" s="39">
        <v>0.8</v>
      </c>
    </row>
    <row r="7" spans="2:14" ht="16.5">
      <c r="B7" s="17" t="s">
        <v>566</v>
      </c>
      <c r="C7" s="18" t="s">
        <v>567</v>
      </c>
      <c r="D7" s="18" t="s">
        <v>568</v>
      </c>
      <c r="E7" s="19" t="s">
        <v>569</v>
      </c>
    </row>
    <row r="8" spans="2:14" ht="16.5">
      <c r="B8" s="20" t="s">
        <v>570</v>
      </c>
      <c r="C8" s="21">
        <f>VLOOKUP(C5,'5G公共网络（B1）资费'!$B$5:$D$17,3,FALSE)</f>
        <v>50</v>
      </c>
      <c r="D8" s="22"/>
      <c r="E8" s="23">
        <f>C8*D8</f>
        <v>0</v>
      </c>
      <c r="F8" s="11" t="s">
        <v>571</v>
      </c>
    </row>
    <row r="9" spans="2:14" ht="16.5">
      <c r="B9" s="20" t="s">
        <v>572</v>
      </c>
      <c r="C9" s="21">
        <f>VLOOKUP((LARGE(B17:B39,COUNTIF(B17:B39,"&gt;="&amp;(8*(IFERROR(LEFT(C5,FIND("TB",C5)-1)*1024,LEFT(C5,FIND("GB",C5)-1)))*1024/(I5*60)/60/G5*E5*K5)))),B17:C39,2,FALSE)</f>
        <v>6</v>
      </c>
      <c r="D9" s="22"/>
      <c r="E9" s="23">
        <f>C9*D9</f>
        <v>0</v>
      </c>
    </row>
    <row r="10" spans="2:14" ht="16.5">
      <c r="B10" s="24" t="s">
        <v>573</v>
      </c>
      <c r="C10" s="25">
        <f>C8+C9</f>
        <v>56</v>
      </c>
      <c r="D10" s="25"/>
      <c r="E10" s="26">
        <f>E8+E9</f>
        <v>0</v>
      </c>
      <c r="G10" s="27"/>
    </row>
    <row r="11" spans="2:14" ht="8" customHeight="1">
      <c r="B11" s="486"/>
      <c r="C11" s="486"/>
      <c r="D11" s="486"/>
      <c r="E11" s="486"/>
      <c r="F11" s="486"/>
      <c r="G11" s="486"/>
      <c r="H11" s="486"/>
      <c r="I11" s="486"/>
      <c r="J11" s="486"/>
      <c r="K11" s="486"/>
    </row>
    <row r="12" spans="2:14">
      <c r="B12" s="486" t="s">
        <v>574</v>
      </c>
      <c r="C12" s="486"/>
      <c r="D12" s="486"/>
      <c r="E12" s="486"/>
      <c r="F12" s="486"/>
      <c r="G12" s="486"/>
      <c r="H12" s="486"/>
      <c r="I12" s="486"/>
      <c r="J12" s="486"/>
      <c r="K12" s="486"/>
    </row>
    <row r="13" spans="2:14">
      <c r="B13" s="28"/>
      <c r="C13" s="28"/>
      <c r="D13" s="28"/>
      <c r="E13" s="28"/>
      <c r="F13" s="28"/>
      <c r="G13" s="28"/>
      <c r="H13" s="28"/>
      <c r="I13" s="28"/>
      <c r="J13" s="28"/>
      <c r="K13" s="28"/>
    </row>
    <row r="16" spans="2:14" ht="33">
      <c r="B16" s="29" t="s">
        <v>575</v>
      </c>
      <c r="C16" s="30" t="s">
        <v>576</v>
      </c>
    </row>
    <row r="17" spans="2:5" ht="16.5">
      <c r="B17" s="31">
        <v>10</v>
      </c>
      <c r="C17" s="32">
        <f>'边缘计算(A3、A4、A5）'!F6/100</f>
        <v>6</v>
      </c>
      <c r="E17" s="33"/>
    </row>
    <row r="18" spans="2:5" ht="16.5">
      <c r="B18" s="31">
        <v>20</v>
      </c>
      <c r="C18" s="32">
        <f>C17</f>
        <v>6</v>
      </c>
      <c r="E18" s="33"/>
    </row>
    <row r="19" spans="2:5" ht="16.5">
      <c r="B19" s="31">
        <v>30</v>
      </c>
      <c r="C19" s="32">
        <f t="shared" ref="C19:C23" si="0">C18</f>
        <v>6</v>
      </c>
      <c r="E19" s="33"/>
    </row>
    <row r="20" spans="2:5" ht="16.5">
      <c r="B20" s="31">
        <v>40</v>
      </c>
      <c r="C20" s="32">
        <f t="shared" si="0"/>
        <v>6</v>
      </c>
      <c r="E20" s="33"/>
    </row>
    <row r="21" spans="2:5" ht="16.5">
      <c r="B21" s="31">
        <v>50</v>
      </c>
      <c r="C21" s="32">
        <f t="shared" si="0"/>
        <v>6</v>
      </c>
      <c r="E21" s="33"/>
    </row>
    <row r="22" spans="2:5" ht="16.5">
      <c r="B22" s="31">
        <v>80</v>
      </c>
      <c r="C22" s="32">
        <f t="shared" si="0"/>
        <v>6</v>
      </c>
      <c r="E22" s="33"/>
    </row>
    <row r="23" spans="2:5" ht="16.5">
      <c r="B23" s="31">
        <v>100</v>
      </c>
      <c r="C23" s="32">
        <f t="shared" si="0"/>
        <v>6</v>
      </c>
      <c r="E23" s="33"/>
    </row>
    <row r="24" spans="2:5" ht="16.5">
      <c r="B24" s="31">
        <v>150</v>
      </c>
      <c r="C24" s="32">
        <f>'边缘计算(A3、A4、A5）'!F7/200</f>
        <v>5</v>
      </c>
      <c r="E24" s="33"/>
    </row>
    <row r="25" spans="2:5" ht="16.5">
      <c r="B25" s="31">
        <v>200</v>
      </c>
      <c r="C25" s="32">
        <f>C24</f>
        <v>5</v>
      </c>
      <c r="E25" s="33"/>
    </row>
    <row r="26" spans="2:5" ht="16.5">
      <c r="B26" s="31">
        <v>300</v>
      </c>
      <c r="C26" s="32">
        <f>'边缘计算(A3、A4、A5）'!F8/500</f>
        <v>4.2</v>
      </c>
      <c r="E26" s="33"/>
    </row>
    <row r="27" spans="2:5" ht="16.5">
      <c r="B27" s="31">
        <v>400</v>
      </c>
      <c r="C27" s="32">
        <f>C26</f>
        <v>4.2</v>
      </c>
      <c r="E27" s="33"/>
    </row>
    <row r="28" spans="2:5" ht="16.5">
      <c r="B28" s="31">
        <v>500</v>
      </c>
      <c r="C28" s="32">
        <f>C27</f>
        <v>4.2</v>
      </c>
      <c r="E28" s="33"/>
    </row>
    <row r="29" spans="2:5" ht="16.5">
      <c r="B29" s="34">
        <v>800</v>
      </c>
      <c r="C29" s="32">
        <f>'边缘计算(A3、A4、A5）'!F9/1024</f>
        <v>3.80859375</v>
      </c>
      <c r="E29" s="33"/>
    </row>
    <row r="30" spans="2:5" ht="16.5">
      <c r="B30" s="34">
        <v>1024</v>
      </c>
      <c r="C30" s="32">
        <f>C29</f>
        <v>3.80859375</v>
      </c>
      <c r="E30" s="33"/>
    </row>
    <row r="31" spans="2:5" ht="16.5">
      <c r="B31" s="31">
        <f>1024*1.5</f>
        <v>1536</v>
      </c>
      <c r="C31" s="32">
        <f>'边缘计算(A3、A4、A5）'!F10/2048</f>
        <v>3.759765625</v>
      </c>
      <c r="E31" s="33"/>
    </row>
    <row r="32" spans="2:5" ht="16.5">
      <c r="B32" s="34">
        <v>2048</v>
      </c>
      <c r="C32" s="32">
        <f>C31</f>
        <v>3.759765625</v>
      </c>
      <c r="E32" s="33"/>
    </row>
    <row r="33" spans="2:5" ht="16.5">
      <c r="B33" s="31">
        <f>1024*2.5</f>
        <v>2560</v>
      </c>
      <c r="C33" s="32">
        <f>'边缘计算(A3、A4、A5）'!F11/5120</f>
        <v>3.75</v>
      </c>
      <c r="E33" s="33"/>
    </row>
    <row r="34" spans="2:5" ht="16.5">
      <c r="B34" s="31">
        <v>3072</v>
      </c>
      <c r="C34" s="23">
        <f>C33</f>
        <v>3.75</v>
      </c>
      <c r="E34" s="33"/>
    </row>
    <row r="35" spans="2:5" ht="16.5">
      <c r="B35" s="31">
        <v>3584</v>
      </c>
      <c r="C35" s="23">
        <f>C34</f>
        <v>3.75</v>
      </c>
      <c r="E35" s="33"/>
    </row>
    <row r="36" spans="2:5" ht="16.5">
      <c r="B36" s="31">
        <v>4096</v>
      </c>
      <c r="C36" s="23">
        <f>C35</f>
        <v>3.75</v>
      </c>
      <c r="E36" s="33"/>
    </row>
    <row r="37" spans="2:5" ht="16.5">
      <c r="B37" s="34">
        <v>5120</v>
      </c>
      <c r="C37" s="23">
        <f>C36</f>
        <v>3.75</v>
      </c>
      <c r="E37" s="33"/>
    </row>
    <row r="38" spans="2:5" ht="16.5">
      <c r="B38" s="34">
        <v>7680</v>
      </c>
      <c r="C38" s="32">
        <f>'边缘计算(A3、A4、A5）'!F12/10240</f>
        <v>3.125</v>
      </c>
      <c r="E38" s="33"/>
    </row>
    <row r="39" spans="2:5" ht="16.5">
      <c r="B39" s="35">
        <v>10240</v>
      </c>
      <c r="C39" s="36">
        <f>C38</f>
        <v>3.125</v>
      </c>
      <c r="E39" s="33"/>
    </row>
  </sheetData>
  <mergeCells count="4">
    <mergeCell ref="B1:K1"/>
    <mergeCell ref="B4:K4"/>
    <mergeCell ref="B11:K11"/>
    <mergeCell ref="B12:K12"/>
  </mergeCells>
  <phoneticPr fontId="59" type="noConversion"/>
  <pageMargins left="0.75" right="0.75" top="1" bottom="1" header="0.5" footer="0.5"/>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'5G公共网络（B1）资费'!$B$5:$B$17</xm:f>
          </x14:formula1>
          <xm:sqref>C5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B1:I10"/>
  <sheetViews>
    <sheetView showGridLines="0" topLeftCell="A5" zoomScale="50" zoomScaleNormal="50" workbookViewId="0">
      <selection activeCell="K10" sqref="K10"/>
    </sheetView>
  </sheetViews>
  <sheetFormatPr defaultColWidth="9" defaultRowHeight="14"/>
  <cols>
    <col min="2" max="2" width="11.08203125" customWidth="1"/>
    <col min="3" max="3" width="20.9140625" customWidth="1"/>
    <col min="4" max="4" width="18.9140625" customWidth="1"/>
    <col min="5" max="5" width="17.08203125"/>
    <col min="6" max="6" width="15.08203125" customWidth="1"/>
    <col min="7" max="7" width="25.75" customWidth="1"/>
    <col min="8" max="8" width="28.6640625" customWidth="1"/>
    <col min="9" max="9" width="47.58203125" customWidth="1"/>
    <col min="10" max="16" width="10.4140625" customWidth="1"/>
    <col min="17" max="17" width="15.08203125" customWidth="1"/>
    <col min="18" max="18" width="10.4140625" customWidth="1"/>
    <col min="23" max="24" width="13.4140625" customWidth="1"/>
    <col min="25" max="25" width="27" customWidth="1"/>
    <col min="26" max="27" width="10.4140625" customWidth="1"/>
  </cols>
  <sheetData>
    <row r="1" spans="2:9" ht="15.25" customHeight="1"/>
    <row r="2" spans="2:9" ht="22.5">
      <c r="B2" s="487" t="s">
        <v>577</v>
      </c>
      <c r="C2" s="488"/>
      <c r="D2" s="488"/>
      <c r="E2" s="488"/>
      <c r="F2" s="488"/>
      <c r="G2" s="488"/>
      <c r="H2" s="488"/>
      <c r="I2" s="489"/>
    </row>
    <row r="3" spans="2:9" ht="16.5">
      <c r="B3" s="490" t="s">
        <v>578</v>
      </c>
      <c r="C3" s="494" t="s">
        <v>579</v>
      </c>
      <c r="D3" s="494" t="s">
        <v>580</v>
      </c>
      <c r="E3" s="1" t="s">
        <v>581</v>
      </c>
      <c r="F3" s="1" t="s">
        <v>582</v>
      </c>
      <c r="G3" s="1" t="s">
        <v>583</v>
      </c>
      <c r="H3" s="1" t="s">
        <v>584</v>
      </c>
      <c r="I3" s="495" t="s">
        <v>5</v>
      </c>
    </row>
    <row r="4" spans="2:9" ht="16.5">
      <c r="B4" s="490"/>
      <c r="C4" s="494"/>
      <c r="D4" s="494"/>
      <c r="E4" s="1" t="s">
        <v>585</v>
      </c>
      <c r="F4" s="1" t="s">
        <v>586</v>
      </c>
      <c r="G4" s="1" t="s">
        <v>586</v>
      </c>
      <c r="H4" s="1" t="s">
        <v>586</v>
      </c>
      <c r="I4" s="495"/>
    </row>
    <row r="5" spans="2:9" ht="66">
      <c r="B5" s="491" t="s">
        <v>587</v>
      </c>
      <c r="C5" s="2" t="s">
        <v>588</v>
      </c>
      <c r="D5" s="2" t="s">
        <v>589</v>
      </c>
      <c r="E5" s="3">
        <v>0.35</v>
      </c>
      <c r="F5" s="3">
        <v>1260</v>
      </c>
      <c r="G5" s="3">
        <v>2099</v>
      </c>
      <c r="H5" s="4">
        <v>1610</v>
      </c>
      <c r="I5" s="496" t="s">
        <v>590</v>
      </c>
    </row>
    <row r="6" spans="2:9" ht="66">
      <c r="B6" s="492"/>
      <c r="C6" s="5" t="s">
        <v>591</v>
      </c>
      <c r="D6" s="5" t="s">
        <v>592</v>
      </c>
      <c r="E6" s="6">
        <v>0.32</v>
      </c>
      <c r="F6" s="6">
        <v>1920</v>
      </c>
      <c r="G6" s="6">
        <v>2759</v>
      </c>
      <c r="H6" s="7">
        <v>2270</v>
      </c>
      <c r="I6" s="497"/>
    </row>
    <row r="7" spans="2:9" ht="66">
      <c r="B7" s="492"/>
      <c r="C7" s="5" t="s">
        <v>593</v>
      </c>
      <c r="D7" s="5" t="s">
        <v>594</v>
      </c>
      <c r="E7" s="6">
        <v>0.28999999999999998</v>
      </c>
      <c r="F7" s="6">
        <v>2784</v>
      </c>
      <c r="G7" s="6">
        <v>3623</v>
      </c>
      <c r="H7" s="7">
        <v>3134</v>
      </c>
      <c r="I7" s="497"/>
    </row>
    <row r="8" spans="2:9" ht="66">
      <c r="B8" s="492" t="s">
        <v>595</v>
      </c>
      <c r="C8" s="5" t="s">
        <v>596</v>
      </c>
      <c r="D8" s="5" t="s">
        <v>589</v>
      </c>
      <c r="E8" s="6">
        <v>0.3</v>
      </c>
      <c r="F8" s="6">
        <v>2160</v>
      </c>
      <c r="G8" s="6">
        <v>2999</v>
      </c>
      <c r="H8" s="7">
        <v>2860</v>
      </c>
      <c r="I8" s="497"/>
    </row>
    <row r="9" spans="2:9" ht="66">
      <c r="B9" s="492"/>
      <c r="C9" s="5" t="s">
        <v>597</v>
      </c>
      <c r="D9" s="5" t="s">
        <v>592</v>
      </c>
      <c r="E9" s="6">
        <v>0.27</v>
      </c>
      <c r="F9" s="6">
        <v>3240</v>
      </c>
      <c r="G9" s="6">
        <v>4079</v>
      </c>
      <c r="H9" s="7">
        <v>3940</v>
      </c>
      <c r="I9" s="497"/>
    </row>
    <row r="10" spans="2:9" ht="66">
      <c r="B10" s="493"/>
      <c r="C10" s="8" t="s">
        <v>598</v>
      </c>
      <c r="D10" s="8" t="s">
        <v>594</v>
      </c>
      <c r="E10" s="9">
        <v>0.24</v>
      </c>
      <c r="F10" s="9">
        <v>4608</v>
      </c>
      <c r="G10" s="9">
        <v>5447</v>
      </c>
      <c r="H10" s="10">
        <v>5308</v>
      </c>
      <c r="I10" s="498"/>
    </row>
  </sheetData>
  <mergeCells count="8">
    <mergeCell ref="B2:I2"/>
    <mergeCell ref="B3:B4"/>
    <mergeCell ref="B5:B7"/>
    <mergeCell ref="B8:B10"/>
    <mergeCell ref="C3:C4"/>
    <mergeCell ref="D3:D4"/>
    <mergeCell ref="I3:I4"/>
    <mergeCell ref="I5:I10"/>
  </mergeCells>
  <phoneticPr fontId="59" type="noConversion"/>
  <pageMargins left="0.70069444444444495" right="0.70069444444444495" top="0.75138888888888899" bottom="0.75138888888888899" header="0.29861111111111099" footer="0.29861111111111099"/>
  <pageSetup paperSize="8" scale="76" orientation="landscape"/>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15</vt:i4>
      </vt:variant>
    </vt:vector>
  </HeadingPairs>
  <TitlesOfParts>
    <vt:vector size="15" baseType="lpstr">
      <vt:lpstr>BAF总览</vt:lpstr>
      <vt:lpstr>协议期套餐</vt:lpstr>
      <vt:lpstr>5G公共网络（B1）资费</vt:lpstr>
      <vt:lpstr>5G公网专用（B2）</vt:lpstr>
      <vt:lpstr>5G专网专用（B3）</vt:lpstr>
      <vt:lpstr>业务加速（A1)</vt:lpstr>
      <vt:lpstr>业务隔离（A2）</vt:lpstr>
      <vt:lpstr>边缘计算(A3、A4、A5）</vt:lpstr>
      <vt:lpstr>网络运维服务（A10）</vt:lpstr>
      <vt:lpstr>服务能力（A8、A9、A11）</vt:lpstr>
      <vt:lpstr>网络数字孪生（A13）</vt:lpstr>
      <vt:lpstr>双域专网</vt:lpstr>
      <vt:lpstr>入驻专网</vt:lpstr>
      <vt:lpstr>流量（非入驻）专网</vt:lpstr>
      <vt:lpstr>5G快线</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cmcc</dc:creator>
  <cp:lastModifiedBy>limin</cp:lastModifiedBy>
  <dcterms:created xsi:type="dcterms:W3CDTF">2015-06-05T18:19:00Z</dcterms:created>
  <dcterms:modified xsi:type="dcterms:W3CDTF">2023-04-20T08:02:24Z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2052-11.8.2.10229</vt:lpwstr>
  </property>
  <property fmtid="{D5CDD505-2E9C-101B-9397-08002B2CF9AE}" pid="3" name="ICV">
    <vt:lpwstr>5A59C7A56C6E450E817F3B79DDA58C43</vt:lpwstr>
  </property>
</Properties>
</file>